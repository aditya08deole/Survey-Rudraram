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OneDrive\Desktop\StartUp\"/>
    </mc:Choice>
  </mc:AlternateContent>
  <xr:revisionPtr revIDLastSave="0" documentId="8_{CF0FD0AB-21ED-4352-9F16-4125B365CE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rewell" sheetId="1" r:id="rId1"/>
    <sheet name="Sumps" sheetId="2" r:id="rId2"/>
    <sheet name="OHSR" sheetId="3" r:id="rId3"/>
  </sheets>
  <definedNames>
    <definedName name="_xlnm._FilterDatabase" localSheetId="0" hidden="1">Borewell!$A$1:$Q$52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</calcChain>
</file>

<file path=xl/sharedStrings.xml><?xml version="1.0" encoding="utf-8"?>
<sst xmlns="http://schemas.openxmlformats.org/spreadsheetml/2006/main" count="660" uniqueCount="283">
  <si>
    <t>Sr. No.</t>
  </si>
  <si>
    <t>Survey Code (ID)</t>
  </si>
  <si>
    <t>Original Name</t>
  </si>
  <si>
    <t>Zone</t>
  </si>
  <si>
    <t>Location</t>
  </si>
  <si>
    <t>Status</t>
  </si>
  <si>
    <t>Depth (ft)</t>
  </si>
  <si>
    <t>Motor HP</t>
  </si>
  <si>
    <t>Pipe Size (inch)</t>
  </si>
  <si>
    <t>Houses Connected</t>
  </si>
  <si>
    <t>Daily Usage (Hrs)</t>
  </si>
  <si>
    <t>Notes</t>
  </si>
  <si>
    <t>Images</t>
  </si>
  <si>
    <t>Done</t>
  </si>
  <si>
    <t>Bore 58</t>
  </si>
  <si>
    <t>Bore 61</t>
  </si>
  <si>
    <t>Bore 55</t>
  </si>
  <si>
    <t>Bore 56</t>
  </si>
  <si>
    <t>Bore 57</t>
  </si>
  <si>
    <t>Bore 41</t>
  </si>
  <si>
    <t>Bore 42</t>
  </si>
  <si>
    <t>Bore 43</t>
  </si>
  <si>
    <t>Bore 40</t>
  </si>
  <si>
    <t>Bore 39</t>
  </si>
  <si>
    <t>Bore 38</t>
  </si>
  <si>
    <t>Bore 37</t>
  </si>
  <si>
    <t>Bore 36</t>
  </si>
  <si>
    <t>Bore 53</t>
  </si>
  <si>
    <t>Bore 52</t>
  </si>
  <si>
    <t>Bore 50</t>
  </si>
  <si>
    <t>Bore 49</t>
  </si>
  <si>
    <t>Bore 54</t>
  </si>
  <si>
    <t>Bore 47</t>
  </si>
  <si>
    <t>Bore 48</t>
  </si>
  <si>
    <t>Bore 46</t>
  </si>
  <si>
    <t>Bore 45</t>
  </si>
  <si>
    <t>Bore 59</t>
  </si>
  <si>
    <t>Waddera Colony</t>
  </si>
  <si>
    <t>Waddera Colony (Bore 58)</t>
  </si>
  <si>
    <t>Waddera Colony (Bore 61)</t>
  </si>
  <si>
    <t>Waddera Colony (Bore 55)</t>
  </si>
  <si>
    <t>Waddera Colony (Bore 56)</t>
  </si>
  <si>
    <t>Waddera Colony (Bore 57)</t>
  </si>
  <si>
    <t>Waddera Colony (Bore 41)</t>
  </si>
  <si>
    <t>Waddera Colony (Bore 42)</t>
  </si>
  <si>
    <t>Waddera Colony (Bore 43)</t>
  </si>
  <si>
    <t>Waddera Colony (Bore 40)</t>
  </si>
  <si>
    <t>Waddera Colony (Bore 39)</t>
  </si>
  <si>
    <t>Waddera Colony (Bore 38)</t>
  </si>
  <si>
    <t>Waddera Colony (Bore 37)</t>
  </si>
  <si>
    <t>Waddera Colony (Bore 36)</t>
  </si>
  <si>
    <t>Waddera Colony (Bore 53)</t>
  </si>
  <si>
    <t>Waddera Colony (Bore 52)</t>
  </si>
  <si>
    <t>Waddera Colony (Bore 50)</t>
  </si>
  <si>
    <t>Waddera Colony (Bore 49)</t>
  </si>
  <si>
    <t>Waddera Colony (Bore 54)</t>
  </si>
  <si>
    <t>Waddera Colony (Bore 47)</t>
  </si>
  <si>
    <t>Waddera Colony (Bore 48)</t>
  </si>
  <si>
    <t>Waddera Colony (Bore 46)</t>
  </si>
  <si>
    <t>Waddera Colony (Bore 45)</t>
  </si>
  <si>
    <t>Waddera Colony (Bore 59)</t>
  </si>
  <si>
    <t>Working</t>
  </si>
  <si>
    <t>Not Working</t>
  </si>
  <si>
    <t>On Repair</t>
  </si>
  <si>
    <t>Cancelled</t>
  </si>
  <si>
    <t>For Repair</t>
  </si>
  <si>
    <t>300</t>
  </si>
  <si>
    <t>Unknown</t>
  </si>
  <si>
    <t>2 HP</t>
  </si>
  <si>
    <t>1 HP</t>
  </si>
  <si>
    <t>3 HP</t>
  </si>
  <si>
    <t>7.5 HP</t>
  </si>
  <si>
    <t>No motor</t>
  </si>
  <si>
    <t>1→3/4</t>
  </si>
  <si>
    <t>Earlier unknown</t>
  </si>
  <si>
    <t>Will start soon</t>
  </si>
  <si>
    <t>Private property</t>
  </si>
  <si>
    <t>ET-WC-BW-001</t>
  </si>
  <si>
    <t>ET-WC-BW-002</t>
  </si>
  <si>
    <t>ET-WC-BW-003</t>
  </si>
  <si>
    <t>ET-WC-BW-004</t>
  </si>
  <si>
    <t>ET-WC-BW-005</t>
  </si>
  <si>
    <t>ET-WC-BW-006</t>
  </si>
  <si>
    <t>ET-WC-BW-007</t>
  </si>
  <si>
    <t>ET-WC-BW-008</t>
  </si>
  <si>
    <t>ET-WC-BW-009</t>
  </si>
  <si>
    <t>ET-WC-BW-010</t>
  </si>
  <si>
    <t>ET-WC-BW-011</t>
  </si>
  <si>
    <t>ET-WC-BW-012</t>
  </si>
  <si>
    <t>ET-WC-BW-013</t>
  </si>
  <si>
    <t>ET-WC-BW-014</t>
  </si>
  <si>
    <t>ET-WC-BW-015</t>
  </si>
  <si>
    <t>ET-WC-BW-016</t>
  </si>
  <si>
    <t>ET-WC-BW-017</t>
  </si>
  <si>
    <t>ET-WC-BW-018</t>
  </si>
  <si>
    <t>ET-WC-BW-019</t>
  </si>
  <si>
    <t>ET-WC-BW-020</t>
  </si>
  <si>
    <t>ET-WC-BW-021</t>
  </si>
  <si>
    <t>ET-WC-BW-022</t>
  </si>
  <si>
    <t>ET-WC-BW-023</t>
  </si>
  <si>
    <t>ET-WC-BW-024</t>
  </si>
  <si>
    <t>Bore 51</t>
  </si>
  <si>
    <t>Waddera Colony (Bore 51)</t>
  </si>
  <si>
    <t>ET-VL-BW-01</t>
  </si>
  <si>
    <t>ET-VL-BW-02</t>
  </si>
  <si>
    <t>ET-VL-BW-03</t>
  </si>
  <si>
    <t>ET-VL-BW-04</t>
  </si>
  <si>
    <t>ET-VL-BW-05</t>
  </si>
  <si>
    <t>ET-VL-BW-06</t>
  </si>
  <si>
    <t>ET-VL-BW-07</t>
  </si>
  <si>
    <t>ET-VL-BW-08</t>
  </si>
  <si>
    <t>ET-VL-BW-09</t>
  </si>
  <si>
    <t>ET-VL-BW-10</t>
  </si>
  <si>
    <t>ET-VL-BW-11</t>
  </si>
  <si>
    <t>ET-VL-BW-12</t>
  </si>
  <si>
    <t>ET-VL-BW-13</t>
  </si>
  <si>
    <t>ET-VL-BW-14</t>
  </si>
  <si>
    <t>ET-VL-BW-15</t>
  </si>
  <si>
    <t>ET-VL-BW-16</t>
  </si>
  <si>
    <t>ET-VL-BW-17</t>
  </si>
  <si>
    <t>ET-VL-BW-18</t>
  </si>
  <si>
    <t>ET-VL-BW-19</t>
  </si>
  <si>
    <t>ET-VL-BW-20</t>
  </si>
  <si>
    <t>ET-VL-BW-21</t>
  </si>
  <si>
    <t>ET-VL-BW-22</t>
  </si>
  <si>
    <t>ET-VL-BW-23</t>
  </si>
  <si>
    <t>ET-VL-BW-24</t>
  </si>
  <si>
    <t>Bore 21</t>
  </si>
  <si>
    <t>Bore 62</t>
  </si>
  <si>
    <t>Bore 22</t>
  </si>
  <si>
    <t>Bore 63</t>
  </si>
  <si>
    <t>Bore 64</t>
  </si>
  <si>
    <t>Bore 23</t>
  </si>
  <si>
    <t>Bore 24</t>
  </si>
  <si>
    <t>Bore 65</t>
  </si>
  <si>
    <t>Bore 19</t>
  </si>
  <si>
    <t>Bore 20</t>
  </si>
  <si>
    <t>Bore 18</t>
  </si>
  <si>
    <t>Bore 66</t>
  </si>
  <si>
    <t>Bore 14</t>
  </si>
  <si>
    <t>Bore 15</t>
  </si>
  <si>
    <t>Bore 67</t>
  </si>
  <si>
    <t>Bore 68</t>
  </si>
  <si>
    <t>Bore 26</t>
  </si>
  <si>
    <t>Bore 25</t>
  </si>
  <si>
    <t>Bore 29</t>
  </si>
  <si>
    <t>Bore 27</t>
  </si>
  <si>
    <t>Bore 69</t>
  </si>
  <si>
    <t>Bore 70</t>
  </si>
  <si>
    <t>Bore 71</t>
  </si>
  <si>
    <t>Bore 30</t>
  </si>
  <si>
    <t>Village</t>
  </si>
  <si>
    <t>Village (Bore 21)</t>
  </si>
  <si>
    <t>Village (Bore 62)</t>
  </si>
  <si>
    <t>Village (Bore 22)</t>
  </si>
  <si>
    <t>Village (Bore 63)</t>
  </si>
  <si>
    <t>Village (Bore 64)</t>
  </si>
  <si>
    <t>Village (Bore 23)</t>
  </si>
  <si>
    <t>Village (Bore 24)</t>
  </si>
  <si>
    <t>Village (Bore 65)</t>
  </si>
  <si>
    <t>Village (Bore 19)</t>
  </si>
  <si>
    <t>Village (Bore 20)</t>
  </si>
  <si>
    <t>Village (Bore 18)</t>
  </si>
  <si>
    <t>Village (Bore 66)</t>
  </si>
  <si>
    <t>Village (Bore 14)</t>
  </si>
  <si>
    <t>Village (Bore 15)</t>
  </si>
  <si>
    <t>Village (Bore 67)</t>
  </si>
  <si>
    <t>Village (Bore 68)</t>
  </si>
  <si>
    <t>Village (Bore 26)</t>
  </si>
  <si>
    <t>Village (Bore 25)</t>
  </si>
  <si>
    <t>Village (Bore 29)</t>
  </si>
  <si>
    <t>Village (Bore 27)</t>
  </si>
  <si>
    <t>Village (Bore 69)</t>
  </si>
  <si>
    <t>Village (Bore 70)</t>
  </si>
  <si>
    <t>Village (Bore 71)</t>
  </si>
  <si>
    <t>Village (Bore 30)</t>
  </si>
  <si>
    <t>650 ft</t>
  </si>
  <si>
    <t>can be 120 ft</t>
  </si>
  <si>
    <t>1 PVC</t>
  </si>
  <si>
    <t>1→3/4 PVC</t>
  </si>
  <si>
    <t>Deployable</t>
  </si>
  <si>
    <t>Deployable/Bore Motor Control</t>
  </si>
  <si>
    <t>Deployable/Earlier Unknown</t>
  </si>
  <si>
    <t>Earlier Unknown</t>
  </si>
  <si>
    <t>Power Type (1Ph/3Ph)</t>
  </si>
  <si>
    <t>1Ph</t>
  </si>
  <si>
    <t>3Ph</t>
  </si>
  <si>
    <t>ET-SC-BW-01</t>
  </si>
  <si>
    <t>ET-SC-BW-02</t>
  </si>
  <si>
    <t>ET-SC-BW-03</t>
  </si>
  <si>
    <t>ET-SC-BW-04</t>
  </si>
  <si>
    <t>ET-SC-BW-05</t>
  </si>
  <si>
    <t>ET-SC-BW-06</t>
  </si>
  <si>
    <t>ET-SC-BW-07</t>
  </si>
  <si>
    <t>ET-SC-BW-08</t>
  </si>
  <si>
    <t>ET-SC-BW-09</t>
  </si>
  <si>
    <t>ET-SC-BW-10</t>
  </si>
  <si>
    <t>ET-SC-BW-11</t>
  </si>
  <si>
    <t>ET-SC-BW-12</t>
  </si>
  <si>
    <t>SC Colony</t>
  </si>
  <si>
    <t>SC Colony (Bore 1)</t>
  </si>
  <si>
    <t>Bore 1</t>
  </si>
  <si>
    <t>Bore 72</t>
  </si>
  <si>
    <t>Bore 12</t>
  </si>
  <si>
    <t>Bore 13</t>
  </si>
  <si>
    <t>Bore 5</t>
  </si>
  <si>
    <t>Bore 4</t>
  </si>
  <si>
    <t>Bore 6</t>
  </si>
  <si>
    <t>Bore 7</t>
  </si>
  <si>
    <t>Bore 8</t>
  </si>
  <si>
    <t>Bore 9</t>
  </si>
  <si>
    <t>Bore 10</t>
  </si>
  <si>
    <t>Bore 11</t>
  </si>
  <si>
    <t>SC Colony (Bore 72)</t>
  </si>
  <si>
    <t>SC Colony (Bore 12)</t>
  </si>
  <si>
    <t>SC Colony (Bore 13)</t>
  </si>
  <si>
    <t>SC Colony (Bore 5)</t>
  </si>
  <si>
    <t>SC Colony (Bore 4)</t>
  </si>
  <si>
    <t>SC Colony (Bore 6)</t>
  </si>
  <si>
    <t>SC Colony (Bore 7)</t>
  </si>
  <si>
    <t>SC Colony (Bore 8)</t>
  </si>
  <si>
    <t>SC Colony (Bore 9)</t>
  </si>
  <si>
    <t>SC Colony (Bore 10)</t>
  </si>
  <si>
    <t>SC Colony (Bore 11)</t>
  </si>
  <si>
    <t>150 ft</t>
  </si>
  <si>
    <t>600 ft</t>
  </si>
  <si>
    <t>500 ft</t>
  </si>
  <si>
    <t>2 inch Metal</t>
  </si>
  <si>
    <t>Deployable/But full metal fitting, little difficult to deploy</t>
  </si>
  <si>
    <t>Earlier unknown/not in use because of unsuitable water</t>
  </si>
  <si>
    <t>575 ft</t>
  </si>
  <si>
    <t>5 HP</t>
  </si>
  <si>
    <t>750 ft</t>
  </si>
  <si>
    <t>300 ft</t>
  </si>
  <si>
    <t>800 ft</t>
  </si>
  <si>
    <t>15 HP</t>
  </si>
  <si>
    <t>700 ft</t>
  </si>
  <si>
    <t>1000 ft</t>
  </si>
  <si>
    <t>No motor in the Bore</t>
  </si>
  <si>
    <t>200 ft</t>
  </si>
  <si>
    <t>400 ft</t>
  </si>
  <si>
    <t>900 ft</t>
  </si>
  <si>
    <t>1.5 HP</t>
  </si>
  <si>
    <t>Capacity</t>
  </si>
  <si>
    <t>Power Distance (m)</t>
  </si>
  <si>
    <t>Water Works Yard</t>
  </si>
  <si>
    <t>100,000 L</t>
  </si>
  <si>
    <t>Tank Height (m)</t>
  </si>
  <si>
    <t>Mandal Parishad School</t>
  </si>
  <si>
    <t>Waddera</t>
  </si>
  <si>
    <t>Water Work Yard</t>
  </si>
  <si>
    <t>60,000 L</t>
  </si>
  <si>
    <t>Tank Circumference</t>
  </si>
  <si>
    <t>Note</t>
  </si>
  <si>
    <t>ET-VL-SM-01</t>
  </si>
  <si>
    <t>ET-SC-SM-01</t>
  </si>
  <si>
    <t>ET-WC-SM-01</t>
  </si>
  <si>
    <t>ET-WC-SM-02</t>
  </si>
  <si>
    <t>3 m</t>
  </si>
  <si>
    <t>Sump 2</t>
  </si>
  <si>
    <t>Sump 16</t>
  </si>
  <si>
    <t>Sump 35</t>
  </si>
  <si>
    <t>Sump 60</t>
  </si>
  <si>
    <t>Type</t>
  </si>
  <si>
    <t>Material</t>
  </si>
  <si>
    <t>Lid Access?</t>
  </si>
  <si>
    <t>CMSR</t>
  </si>
  <si>
    <t>Concrete</t>
  </si>
  <si>
    <t>OHSR</t>
  </si>
  <si>
    <t>40,000 L</t>
  </si>
  <si>
    <t>ET-WC-OH-01</t>
  </si>
  <si>
    <t>ET-SC-OH-01</t>
  </si>
  <si>
    <t>ET-VL-OH-01</t>
  </si>
  <si>
    <t>90,000 L</t>
  </si>
  <si>
    <t>ET-VL-OH-02</t>
  </si>
  <si>
    <t>ET-WC-OH-02</t>
  </si>
  <si>
    <t>OHSR 3</t>
  </si>
  <si>
    <t>OHSR 17</t>
  </si>
  <si>
    <t>Unknown OHSR</t>
  </si>
  <si>
    <t>OHSR 33</t>
  </si>
  <si>
    <t>OHSR 34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</si>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</sst>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1F1F1F"/>
      <name val="Arial"/>
      <family val="2"/>
    </font>
    <font>
      <b/>
      <sz val="11"/>
      <color rgb="FF000000"/>
      <name val="Arial"/>
      <family val="2"/>
    </font>
    <font>
      <sz val="10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center" wrapText="1" indent="1" readingOrder="1"/>
    </xf>
    <xf numFmtId="0" fontId="5" fillId="0" borderId="1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0" fillId="0" borderId="5" xfId="0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NumberFormat="1" applyBorder="1"/>
    <xf numFmtId="0" fontId="0" fillId="3" borderId="1" xfId="0" applyFill="1" applyBorder="1"/>
    <xf numFmtId="0" fontId="3" fillId="0" borderId="9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center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3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0" fillId="0" borderId="4" xfId="0" applyBorder="1"/>
    <xf numFmtId="0" fontId="5" fillId="0" borderId="4" xfId="0" applyFont="1" applyFill="1" applyBorder="1" applyAlignment="1">
      <alignment horizontal="left" vertical="center" wrapText="1" indent="1" readingOrder="1"/>
    </xf>
  </cellXfs>
  <cellStyles count="1">
    <cellStyle name="Normal" xfId="0" builtinId="0"/>
  </cellStyles>
  <dxfs count="55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00B05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7347F4-6754-4B8E-A57B-03D9BD91EBC4}" name="Table1" displayName="Table1" ref="A1:Q61" totalsRowShown="0" headerRowDxfId="52" headerRowBorderDxfId="50" tableBorderDxfId="51">
  <autoFilter ref="A1:Q61" xr:uid="{417347F4-6754-4B8E-A57B-03D9BD91EBC4}"/>
  <tableColumns count="17">
    <tableColumn id="1" xr3:uid="{34DFFDD7-E928-49E1-8CE8-BD43990EC130}" name="Sr. No." dataDxfId="49">
      <calculatedColumnFormula>A1+1</calculatedColumnFormula>
    </tableColumn>
    <tableColumn id="2" xr3:uid="{C4E25BB6-20A2-440A-98B9-CE8C0738D056}" name="Survey Code (ID)" dataDxfId="48"/>
    <tableColumn id="3" xr3:uid="{DB53DAC9-0D39-4A5B-B5B8-5B21144AD521}" name="Original Name" dataDxfId="47"/>
    <tableColumn id="4" xr3:uid="{65C434A5-5189-4A45-9A8A-F4BA84905845}" name="Zone" dataDxfId="46"/>
    <tableColumn id="5" xr3:uid="{AC05ED28-EFC8-4540-A031-B11F93ABFA84}" name="Location" dataDxfId="45"/>
    <tableColumn id="6" xr3:uid="{7F01E131-6E29-4CCA-884A-D4FDAA967D9E}" name="Status" dataDxfId="44"/>
    <tableColumn id="7" xr3:uid="{82E17CC2-8916-4589-8A66-253F0F5AE9A0}" name="Depth (ft)" dataDxfId="43"/>
    <tableColumn id="8" xr3:uid="{4F1C7970-1F05-4088-B1BB-FDE244B3B894}" name="Motor HP" dataDxfId="42"/>
    <tableColumn id="9" xr3:uid="{15218248-06B6-4226-9B3D-7C6FBDFCFB75}" name="Pipe Size (inch)" dataDxfId="41"/>
    <tableColumn id="16" xr3:uid="{D13790CA-5847-4B8D-9699-54C7BBD19736}" name="Latitude" dataDxfId="40"/>
    <tableColumn id="17" xr3:uid="{F233C6E8-98D0-4A6D-B8F7-60A045108AD0}" name="Longitude" dataDxfId="39"/>
    <tableColumn id="10" xr3:uid="{D8773AAC-8029-427D-8F0F-92390460C5F3}" name="Houses Connected" dataDxfId="38"/>
    <tableColumn id="11" xr3:uid="{4A840690-5741-41F2-B477-4C6E191AA29A}" name="Daily Usage (Hrs)" dataDxfId="37"/>
    <tableColumn id="12" xr3:uid="{94479AD6-BD6F-459E-8BF2-2EFDE558E65C}" name="Power Type (1Ph/3Ph)" dataDxfId="36"/>
    <tableColumn id="13" xr3:uid="{775457A4-36F4-428A-914B-6F7FF2313CC3}" name="Notes" dataDxfId="35"/>
    <tableColumn id="14" xr3:uid="{4E1E4528-2F7D-4491-99FB-506D4E73C12C}" name="Images" dataDxfId="34"/>
    <tableColumn id="15" xr3:uid="{51D1C202-9495-49B1-8EF5-C2839246C8D2}" name="Done" dataDxfId="3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358DA4-6098-4D02-91E8-B3FE4703861C}" name="Table3" displayName="Table3" ref="A1:L5" totalsRowShown="0" headerRowDxfId="17" dataDxfId="53" headerRowBorderDxfId="31" tableBorderDxfId="32" totalsRowBorderDxfId="30">
  <autoFilter ref="A1:L5" xr:uid="{92358DA4-6098-4D02-91E8-B3FE4703861C}"/>
  <tableColumns count="12">
    <tableColumn id="1" xr3:uid="{3FF01A21-9140-4E7D-B228-830AA3833B90}" name="Survey Code (ID)" dataDxfId="29"/>
    <tableColumn id="2" xr3:uid="{500F7A83-5F1C-420C-8632-D5DF9C6345E9}" name="Original Name" dataDxfId="28"/>
    <tableColumn id="3" xr3:uid="{A02517C6-0888-4053-80A7-860D2B51F663}" name="Zone" dataDxfId="27"/>
    <tableColumn id="4" xr3:uid="{9F1052F0-4B86-47DB-AAB2-6270F5713DD4}" name="Location" dataDxfId="26"/>
    <tableColumn id="5" xr3:uid="{D811CA43-B1CF-4955-9C0B-418328B7D180}" name="Capacity" dataDxfId="25"/>
    <tableColumn id="6" xr3:uid="{1D6481BC-5607-478A-9987-BF4207F0DA2D}" name="Tank Height (m)" dataDxfId="24"/>
    <tableColumn id="7" xr3:uid="{EE116CF0-94A9-484F-87DD-3C407387503D}" name="Tank Circumference" dataDxfId="23"/>
    <tableColumn id="8" xr3:uid="{C90FE76C-81B3-44B2-A5AE-8D039AFBECDE}" name="Latitude" dataDxfId="22"/>
    <tableColumn id="9" xr3:uid="{CE1A5DFC-9D90-4AAB-B9F3-87AFF58AAA60}" name="Longitude" dataDxfId="21"/>
    <tableColumn id="10" xr3:uid="{CC450961-5FC9-454B-B2BE-23251F91BCCE}" name="Power Distance (m)" dataDxfId="20"/>
    <tableColumn id="11" xr3:uid="{08EB1059-CEB2-4ED6-8A83-5BA5DE88DB47}" name="Note" dataDxfId="19"/>
    <tableColumn id="12" xr3:uid="{6C927253-AEBE-4B6C-A083-D82139C8D672}" name="Images" dataDxfId="1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993007-6A32-4206-A327-70EC2F57D9AE}" name="Table2" displayName="Table2" ref="A1:M6" totalsRowShown="0" headerRowDxfId="0" dataDxfId="54" headerRowBorderDxfId="15" tableBorderDxfId="16" totalsRowBorderDxfId="14">
  <autoFilter ref="A1:M6" xr:uid="{0D993007-6A32-4206-A327-70EC2F57D9AE}"/>
  <tableColumns count="13">
    <tableColumn id="1" xr3:uid="{2B6529ED-85DF-41C0-A8F4-8051DCE078C0}" name="Survey Code (ID)" dataDxfId="13"/>
    <tableColumn id="2" xr3:uid="{2D2A791B-39A9-454A-B1AF-C0D4AADC9452}" name="Original Name" dataDxfId="12"/>
    <tableColumn id="3" xr3:uid="{2792ED82-9950-4453-AB4F-8A0F3CF4D416}" name="Zone" dataDxfId="11"/>
    <tableColumn id="4" xr3:uid="{B17B0DFA-985D-4BC2-B67A-CEEC462A0245}" name="Location" dataDxfId="10"/>
    <tableColumn id="5" xr3:uid="{E4A959AD-D1CA-4D59-9537-EF4ED2AF6D9F}" name="Capacity" dataDxfId="9"/>
    <tableColumn id="6" xr3:uid="{506764B2-66CB-4967-8355-D96452B14705}" name="Type" dataDxfId="8"/>
    <tableColumn id="7" xr3:uid="{E07B8A50-88CD-44ED-BC0B-A8377EB93840}" name="Tank Height (m)" dataDxfId="7"/>
    <tableColumn id="8" xr3:uid="{F63DFB33-0813-4848-8F88-2426E081FF5F}" name="Latitude" dataDxfId="6"/>
    <tableColumn id="9" xr3:uid="{3D6BE415-29B7-4737-A9D8-F73472C864A1}" name="Longitude" dataDxfId="5"/>
    <tableColumn id="10" xr3:uid="{ADC7E1B1-C36A-4F6C-952C-8F8166C71D80}" name="Material" dataDxfId="4"/>
    <tableColumn id="11" xr3:uid="{5B738BA2-2814-4701-A89F-5F63CD6CD798}" name="Lid Access?" dataDxfId="3"/>
    <tableColumn id="12" xr3:uid="{E0CE272C-DF74-440D-955B-7AE7D2838F68}" name="Houses Connected" dataDxfId="2"/>
    <tableColumn id="13" xr3:uid="{6966ED3B-E49D-43FA-A1C6-E200DAEE8D0B}" name="Images" dataDxfId="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zoomScale="81" zoomScaleNormal="43" workbookViewId="0">
      <selection activeCell="M26" sqref="M26"/>
    </sheetView>
  </sheetViews>
  <sheetFormatPr defaultRowHeight="15" x14ac:dyDescent="0.25"/>
  <cols>
    <col min="1" max="1" width="11.42578125" bestFit="1" customWidth="1"/>
    <col min="2" max="2" width="20.42578125" bestFit="1" customWidth="1"/>
    <col min="3" max="3" width="18.42578125" bestFit="1" customWidth="1"/>
    <col min="4" max="4" width="15.7109375" bestFit="1" customWidth="1"/>
    <col min="5" max="5" width="24.42578125" bestFit="1" customWidth="1"/>
    <col min="6" max="6" width="12.140625" bestFit="1" customWidth="1"/>
    <col min="7" max="7" width="14.28515625" bestFit="1" customWidth="1"/>
    <col min="8" max="8" width="14" bestFit="1" customWidth="1"/>
    <col min="9" max="9" width="19.28515625" bestFit="1" customWidth="1"/>
    <col min="10" max="10" width="12.85546875" bestFit="1" customWidth="1"/>
    <col min="11" max="11" width="14.42578125" bestFit="1" customWidth="1"/>
    <col min="12" max="12" width="22.28515625" bestFit="1" customWidth="1"/>
    <col min="13" max="13" width="20.7109375" bestFit="1" customWidth="1"/>
    <col min="14" max="14" width="25.5703125" bestFit="1" customWidth="1"/>
    <col min="15" max="15" width="52.85546875" bestFit="1" customWidth="1"/>
    <col min="16" max="16" width="11.85546875" bestFit="1" customWidth="1"/>
    <col min="17" max="17" width="10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281</v>
      </c>
      <c r="K1" s="1" t="s">
        <v>282</v>
      </c>
      <c r="L1" s="1" t="s">
        <v>9</v>
      </c>
      <c r="M1" s="1" t="s">
        <v>10</v>
      </c>
      <c r="N1" s="1" t="s">
        <v>184</v>
      </c>
      <c r="O1" s="1" t="s">
        <v>11</v>
      </c>
      <c r="P1" s="1" t="s">
        <v>12</v>
      </c>
      <c r="Q1" s="1" t="s">
        <v>13</v>
      </c>
    </row>
    <row r="2" spans="1:17" x14ac:dyDescent="0.25">
      <c r="A2" s="6">
        <v>1</v>
      </c>
      <c r="B2" s="6" t="s">
        <v>77</v>
      </c>
      <c r="C2" s="6" t="s">
        <v>14</v>
      </c>
      <c r="D2" s="6" t="s">
        <v>37</v>
      </c>
      <c r="E2" s="6" t="s">
        <v>38</v>
      </c>
      <c r="F2" s="6" t="s">
        <v>61</v>
      </c>
      <c r="G2" s="6" t="s">
        <v>236</v>
      </c>
      <c r="H2" s="6" t="s">
        <v>68</v>
      </c>
      <c r="I2" s="6" t="s">
        <v>73</v>
      </c>
      <c r="J2" s="6">
        <v>17.55336746</v>
      </c>
      <c r="K2" s="6">
        <v>78.334846999999996</v>
      </c>
      <c r="L2" s="6"/>
      <c r="M2" s="6"/>
      <c r="N2" s="6" t="s">
        <v>186</v>
      </c>
      <c r="O2" s="7" t="s">
        <v>180</v>
      </c>
      <c r="P2" s="6"/>
      <c r="Q2" s="8" t="b">
        <v>0</v>
      </c>
    </row>
    <row r="3" spans="1:17" x14ac:dyDescent="0.25">
      <c r="A3" s="6">
        <v>2</v>
      </c>
      <c r="B3" s="6" t="s">
        <v>78</v>
      </c>
      <c r="C3" s="6" t="s">
        <v>15</v>
      </c>
      <c r="D3" s="6" t="s">
        <v>37</v>
      </c>
      <c r="E3" s="6" t="s">
        <v>39</v>
      </c>
      <c r="F3" s="6" t="s">
        <v>61</v>
      </c>
      <c r="G3" s="6" t="s">
        <v>66</v>
      </c>
      <c r="H3" s="6" t="s">
        <v>69</v>
      </c>
      <c r="I3" s="6" t="s">
        <v>73</v>
      </c>
      <c r="J3" s="6">
        <v>17.553821769999999</v>
      </c>
      <c r="K3" s="6">
        <v>78.163360589999996</v>
      </c>
      <c r="L3" s="6"/>
      <c r="M3" s="6"/>
      <c r="N3" s="6" t="s">
        <v>185</v>
      </c>
      <c r="O3" s="6" t="s">
        <v>74</v>
      </c>
      <c r="P3" s="6"/>
      <c r="Q3" s="8" t="b">
        <v>0</v>
      </c>
    </row>
    <row r="4" spans="1:17" x14ac:dyDescent="0.25">
      <c r="A4" s="6">
        <v>3</v>
      </c>
      <c r="B4" s="6" t="s">
        <v>79</v>
      </c>
      <c r="C4" s="6" t="s">
        <v>16</v>
      </c>
      <c r="D4" s="6" t="s">
        <v>37</v>
      </c>
      <c r="E4" s="6" t="s">
        <v>40</v>
      </c>
      <c r="F4" s="6" t="s">
        <v>62</v>
      </c>
      <c r="G4" s="6" t="s">
        <v>232</v>
      </c>
      <c r="H4" s="6" t="s">
        <v>68</v>
      </c>
      <c r="I4" s="6" t="s">
        <v>73</v>
      </c>
      <c r="J4" s="6">
        <v>17.553697100000001</v>
      </c>
      <c r="K4" s="6">
        <v>78.164214999999999</v>
      </c>
      <c r="L4" s="6"/>
      <c r="M4" s="6"/>
      <c r="N4" s="6" t="s">
        <v>185</v>
      </c>
      <c r="O4" s="6"/>
      <c r="P4" s="6"/>
      <c r="Q4" s="8" t="b">
        <v>0</v>
      </c>
    </row>
    <row r="5" spans="1:17" x14ac:dyDescent="0.25">
      <c r="A5" s="6">
        <v>4</v>
      </c>
      <c r="B5" s="6" t="s">
        <v>80</v>
      </c>
      <c r="C5" s="6" t="s">
        <v>17</v>
      </c>
      <c r="D5" s="6" t="s">
        <v>37</v>
      </c>
      <c r="E5" s="6" t="s">
        <v>41</v>
      </c>
      <c r="F5" s="6" t="s">
        <v>61</v>
      </c>
      <c r="G5" s="6" t="s">
        <v>226</v>
      </c>
      <c r="H5" s="6" t="s">
        <v>68</v>
      </c>
      <c r="I5" s="6" t="s">
        <v>73</v>
      </c>
      <c r="J5" s="6">
        <v>17.553725409999998</v>
      </c>
      <c r="K5" s="6">
        <v>78.163873240000001</v>
      </c>
      <c r="L5" s="6"/>
      <c r="M5" s="6"/>
      <c r="N5" s="6" t="s">
        <v>185</v>
      </c>
      <c r="O5" s="6"/>
      <c r="P5" s="6"/>
      <c r="Q5" s="8" t="b">
        <v>0</v>
      </c>
    </row>
    <row r="6" spans="1:17" x14ac:dyDescent="0.25">
      <c r="A6" s="6">
        <v>5</v>
      </c>
      <c r="B6" s="6" t="s">
        <v>81</v>
      </c>
      <c r="C6" s="6" t="s">
        <v>18</v>
      </c>
      <c r="D6" s="6" t="s">
        <v>37</v>
      </c>
      <c r="E6" s="6" t="s">
        <v>42</v>
      </c>
      <c r="F6" s="6" t="s">
        <v>61</v>
      </c>
      <c r="G6" s="6" t="s">
        <v>239</v>
      </c>
      <c r="H6" s="6" t="s">
        <v>69</v>
      </c>
      <c r="I6" s="9">
        <v>1</v>
      </c>
      <c r="J6" s="6">
        <v>17.553263699999999</v>
      </c>
      <c r="K6" s="6">
        <v>78.164903129999999</v>
      </c>
      <c r="L6" s="6"/>
      <c r="M6" s="6"/>
      <c r="N6" s="6" t="s">
        <v>185</v>
      </c>
      <c r="O6" s="6"/>
      <c r="P6" s="6"/>
      <c r="Q6" s="8" t="b">
        <v>0</v>
      </c>
    </row>
    <row r="7" spans="1:17" x14ac:dyDescent="0.25">
      <c r="A7" s="6">
        <v>6</v>
      </c>
      <c r="B7" s="6" t="s">
        <v>82</v>
      </c>
      <c r="C7" s="6" t="s">
        <v>19</v>
      </c>
      <c r="D7" s="6" t="s">
        <v>37</v>
      </c>
      <c r="E7" s="6" t="s">
        <v>43</v>
      </c>
      <c r="F7" s="6" t="s">
        <v>61</v>
      </c>
      <c r="G7" s="6" t="s">
        <v>234</v>
      </c>
      <c r="H7" s="6" t="s">
        <v>68</v>
      </c>
      <c r="I7" s="6" t="s">
        <v>73</v>
      </c>
      <c r="J7" s="6">
        <v>17.553917609999999</v>
      </c>
      <c r="K7" s="6">
        <v>78.165388370000002</v>
      </c>
      <c r="L7" s="6"/>
      <c r="M7" s="6"/>
      <c r="N7" s="6" t="s">
        <v>185</v>
      </c>
      <c r="O7" s="6"/>
      <c r="P7" s="6"/>
      <c r="Q7" s="8" t="b">
        <v>0</v>
      </c>
    </row>
    <row r="8" spans="1:17" x14ac:dyDescent="0.25">
      <c r="A8" s="6">
        <v>7</v>
      </c>
      <c r="B8" s="6" t="s">
        <v>83</v>
      </c>
      <c r="C8" s="6" t="s">
        <v>20</v>
      </c>
      <c r="D8" s="6" t="s">
        <v>37</v>
      </c>
      <c r="E8" s="6" t="s">
        <v>44</v>
      </c>
      <c r="F8" s="6" t="s">
        <v>62</v>
      </c>
      <c r="G8" s="6" t="s">
        <v>67</v>
      </c>
      <c r="H8" s="6" t="s">
        <v>67</v>
      </c>
      <c r="I8" s="6" t="s">
        <v>67</v>
      </c>
      <c r="J8" s="6">
        <v>15.55435606</v>
      </c>
      <c r="K8" s="6">
        <v>78.165294250000002</v>
      </c>
      <c r="L8" s="6"/>
      <c r="M8" s="6"/>
      <c r="N8" s="6" t="s">
        <v>67</v>
      </c>
      <c r="O8" s="6"/>
      <c r="P8" s="6"/>
      <c r="Q8" s="8" t="b">
        <v>0</v>
      </c>
    </row>
    <row r="9" spans="1:17" x14ac:dyDescent="0.25">
      <c r="A9" s="6">
        <v>8</v>
      </c>
      <c r="B9" s="6" t="s">
        <v>84</v>
      </c>
      <c r="C9" s="6" t="s">
        <v>21</v>
      </c>
      <c r="D9" s="6" t="s">
        <v>37</v>
      </c>
      <c r="E9" s="6" t="s">
        <v>45</v>
      </c>
      <c r="F9" s="6" t="s">
        <v>61</v>
      </c>
      <c r="G9" s="6" t="s">
        <v>234</v>
      </c>
      <c r="H9" s="6" t="s">
        <v>68</v>
      </c>
      <c r="I9" s="6" t="s">
        <v>73</v>
      </c>
      <c r="J9" s="6">
        <v>17.55475577</v>
      </c>
      <c r="K9" s="6">
        <v>78.165563199999994</v>
      </c>
      <c r="L9" s="6"/>
      <c r="M9" s="6"/>
      <c r="N9" s="6" t="s">
        <v>185</v>
      </c>
      <c r="O9" s="6"/>
      <c r="P9" s="6"/>
      <c r="Q9" s="8" t="b">
        <v>0</v>
      </c>
    </row>
    <row r="10" spans="1:17" x14ac:dyDescent="0.25">
      <c r="A10" s="6">
        <v>9</v>
      </c>
      <c r="B10" s="6" t="s">
        <v>85</v>
      </c>
      <c r="C10" s="6" t="s">
        <v>22</v>
      </c>
      <c r="D10" s="6" t="s">
        <v>37</v>
      </c>
      <c r="E10" s="6" t="s">
        <v>46</v>
      </c>
      <c r="F10" s="6" t="s">
        <v>62</v>
      </c>
      <c r="G10" s="6" t="s">
        <v>67</v>
      </c>
      <c r="H10" s="6" t="s">
        <v>67</v>
      </c>
      <c r="I10" s="6" t="s">
        <v>67</v>
      </c>
      <c r="J10" s="6">
        <v>17.554221999999999</v>
      </c>
      <c r="K10" s="6">
        <v>78.164574999999999</v>
      </c>
      <c r="L10" s="6"/>
      <c r="M10" s="6"/>
      <c r="N10" s="6" t="s">
        <v>67</v>
      </c>
      <c r="O10" s="6"/>
      <c r="P10" s="6"/>
      <c r="Q10" s="8" t="b">
        <v>0</v>
      </c>
    </row>
    <row r="11" spans="1:17" x14ac:dyDescent="0.25">
      <c r="A11" s="6">
        <v>10</v>
      </c>
      <c r="B11" s="6" t="s">
        <v>86</v>
      </c>
      <c r="C11" s="6" t="s">
        <v>23</v>
      </c>
      <c r="D11" s="6" t="s">
        <v>37</v>
      </c>
      <c r="E11" s="6" t="s">
        <v>47</v>
      </c>
      <c r="F11" s="6" t="s">
        <v>61</v>
      </c>
      <c r="G11" s="6" t="s">
        <v>234</v>
      </c>
      <c r="H11" s="6" t="s">
        <v>231</v>
      </c>
      <c r="I11" s="6" t="s">
        <v>73</v>
      </c>
      <c r="J11" s="6">
        <v>17.5540375</v>
      </c>
      <c r="K11" s="6">
        <v>78.164508359999999</v>
      </c>
      <c r="L11" s="6"/>
      <c r="M11" s="6"/>
      <c r="N11" s="6" t="s">
        <v>186</v>
      </c>
      <c r="O11" s="7" t="s">
        <v>180</v>
      </c>
      <c r="P11" s="6"/>
      <c r="Q11" s="8" t="b">
        <v>0</v>
      </c>
    </row>
    <row r="12" spans="1:17" x14ac:dyDescent="0.25">
      <c r="A12" s="6">
        <v>11</v>
      </c>
      <c r="B12" s="6" t="s">
        <v>87</v>
      </c>
      <c r="C12" s="6" t="s">
        <v>24</v>
      </c>
      <c r="D12" s="6" t="s">
        <v>37</v>
      </c>
      <c r="E12" s="6" t="s">
        <v>48</v>
      </c>
      <c r="F12" s="6" t="s">
        <v>61</v>
      </c>
      <c r="G12" s="6" t="s">
        <v>240</v>
      </c>
      <c r="H12" s="6" t="s">
        <v>67</v>
      </c>
      <c r="I12" s="6" t="s">
        <v>67</v>
      </c>
      <c r="J12" s="6">
        <v>17.554477080000002</v>
      </c>
      <c r="K12" s="6">
        <v>78.163855839999997</v>
      </c>
      <c r="L12" s="6"/>
      <c r="M12" s="6"/>
      <c r="N12" s="6" t="s">
        <v>186</v>
      </c>
      <c r="O12" s="6" t="s">
        <v>238</v>
      </c>
      <c r="P12" s="6"/>
      <c r="Q12" s="8" t="b">
        <v>0</v>
      </c>
    </row>
    <row r="13" spans="1:17" x14ac:dyDescent="0.25">
      <c r="A13" s="6">
        <v>12</v>
      </c>
      <c r="B13" s="6" t="s">
        <v>88</v>
      </c>
      <c r="C13" s="6" t="s">
        <v>25</v>
      </c>
      <c r="D13" s="6" t="s">
        <v>37</v>
      </c>
      <c r="E13" s="6" t="s">
        <v>49</v>
      </c>
      <c r="F13" s="6" t="s">
        <v>61</v>
      </c>
      <c r="G13" s="6" t="s">
        <v>234</v>
      </c>
      <c r="H13" s="6" t="s">
        <v>71</v>
      </c>
      <c r="I13" s="9">
        <v>2</v>
      </c>
      <c r="J13" s="6">
        <v>17.554375530000002</v>
      </c>
      <c r="K13" s="6">
        <v>78.164102670000005</v>
      </c>
      <c r="L13" s="6"/>
      <c r="M13" s="6"/>
      <c r="N13" s="6" t="s">
        <v>186</v>
      </c>
      <c r="O13" s="7" t="s">
        <v>181</v>
      </c>
      <c r="P13" s="6"/>
      <c r="Q13" s="8" t="b">
        <v>0</v>
      </c>
    </row>
    <row r="14" spans="1:17" x14ac:dyDescent="0.25">
      <c r="A14" s="6">
        <v>13</v>
      </c>
      <c r="B14" s="6" t="s">
        <v>89</v>
      </c>
      <c r="C14" s="6" t="s">
        <v>26</v>
      </c>
      <c r="D14" s="6" t="s">
        <v>37</v>
      </c>
      <c r="E14" s="6" t="s">
        <v>50</v>
      </c>
      <c r="F14" s="6" t="s">
        <v>61</v>
      </c>
      <c r="G14" s="6" t="s">
        <v>225</v>
      </c>
      <c r="H14" s="6" t="s">
        <v>71</v>
      </c>
      <c r="I14" s="6">
        <v>2</v>
      </c>
      <c r="J14" s="6">
        <v>17.55443576</v>
      </c>
      <c r="K14" s="6">
        <v>78.163894110000001</v>
      </c>
      <c r="L14" s="6"/>
      <c r="M14" s="6"/>
      <c r="N14" s="6" t="s">
        <v>186</v>
      </c>
      <c r="O14" s="7" t="s">
        <v>181</v>
      </c>
      <c r="P14" s="6"/>
      <c r="Q14" s="8" t="b">
        <v>0</v>
      </c>
    </row>
    <row r="15" spans="1:17" x14ac:dyDescent="0.25">
      <c r="A15" s="6">
        <v>14</v>
      </c>
      <c r="B15" s="6" t="s">
        <v>90</v>
      </c>
      <c r="C15" s="6" t="s">
        <v>27</v>
      </c>
      <c r="D15" s="6" t="s">
        <v>37</v>
      </c>
      <c r="E15" s="6" t="s">
        <v>51</v>
      </c>
      <c r="F15" s="6" t="s">
        <v>63</v>
      </c>
      <c r="G15" s="6" t="s">
        <v>226</v>
      </c>
      <c r="H15" s="6" t="s">
        <v>70</v>
      </c>
      <c r="I15" s="9">
        <v>1.5</v>
      </c>
      <c r="J15" s="6">
        <v>17.554810549999999</v>
      </c>
      <c r="K15" s="6">
        <v>78.163286999999997</v>
      </c>
      <c r="L15" s="6"/>
      <c r="M15" s="6"/>
      <c r="N15" s="6" t="s">
        <v>185</v>
      </c>
      <c r="O15" s="7" t="s">
        <v>180</v>
      </c>
      <c r="P15" s="6"/>
      <c r="Q15" s="8" t="b">
        <v>0</v>
      </c>
    </row>
    <row r="16" spans="1:17" x14ac:dyDescent="0.25">
      <c r="A16" s="6">
        <v>15</v>
      </c>
      <c r="B16" s="6" t="s">
        <v>91</v>
      </c>
      <c r="C16" s="6" t="s">
        <v>28</v>
      </c>
      <c r="D16" s="6" t="s">
        <v>37</v>
      </c>
      <c r="E16" s="6" t="s">
        <v>52</v>
      </c>
      <c r="F16" s="6" t="s">
        <v>63</v>
      </c>
      <c r="G16" s="6" t="s">
        <v>233</v>
      </c>
      <c r="H16" s="6" t="s">
        <v>70</v>
      </c>
      <c r="I16" s="9">
        <v>1</v>
      </c>
      <c r="J16" s="6">
        <v>17.55519997</v>
      </c>
      <c r="K16" s="6">
        <v>78.163415400000005</v>
      </c>
      <c r="L16" s="6"/>
      <c r="M16" s="6"/>
      <c r="N16" s="6" t="s">
        <v>185</v>
      </c>
      <c r="O16" s="7" t="s">
        <v>180</v>
      </c>
      <c r="P16" s="6"/>
      <c r="Q16" s="8" t="b">
        <v>0</v>
      </c>
    </row>
    <row r="17" spans="1:17" x14ac:dyDescent="0.25">
      <c r="A17" s="6">
        <v>16</v>
      </c>
      <c r="B17" s="6" t="s">
        <v>92</v>
      </c>
      <c r="C17" s="6" t="s">
        <v>101</v>
      </c>
      <c r="D17" s="6" t="s">
        <v>37</v>
      </c>
      <c r="E17" s="6" t="s">
        <v>102</v>
      </c>
      <c r="F17" s="6" t="s">
        <v>61</v>
      </c>
      <c r="G17" s="6" t="s">
        <v>226</v>
      </c>
      <c r="H17" s="6" t="s">
        <v>68</v>
      </c>
      <c r="I17" s="6">
        <v>1</v>
      </c>
      <c r="J17" s="6">
        <v>17.555715039999999</v>
      </c>
      <c r="K17" s="6">
        <v>78.164015950000007</v>
      </c>
      <c r="L17" s="6"/>
      <c r="M17" s="6"/>
      <c r="N17" s="6" t="s">
        <v>185</v>
      </c>
      <c r="O17" s="6"/>
      <c r="P17" s="6"/>
      <c r="Q17" s="8" t="b">
        <v>0</v>
      </c>
    </row>
    <row r="18" spans="1:17" x14ac:dyDescent="0.25">
      <c r="A18" s="6">
        <v>17</v>
      </c>
      <c r="B18" s="6" t="s">
        <v>93</v>
      </c>
      <c r="C18" s="6" t="s">
        <v>29</v>
      </c>
      <c r="D18" s="6" t="s">
        <v>37</v>
      </c>
      <c r="E18" s="6" t="s">
        <v>53</v>
      </c>
      <c r="F18" s="6" t="s">
        <v>62</v>
      </c>
      <c r="G18" s="6" t="s">
        <v>67</v>
      </c>
      <c r="H18" s="6" t="s">
        <v>72</v>
      </c>
      <c r="I18" s="6" t="s">
        <v>67</v>
      </c>
      <c r="J18" s="6">
        <v>17.555993269999998</v>
      </c>
      <c r="K18" s="6">
        <v>78.164434940000007</v>
      </c>
      <c r="L18" s="6"/>
      <c r="M18" s="6"/>
      <c r="N18" s="6" t="s">
        <v>185</v>
      </c>
      <c r="O18" s="6" t="s">
        <v>75</v>
      </c>
      <c r="P18" s="6"/>
      <c r="Q18" s="8" t="b">
        <v>0</v>
      </c>
    </row>
    <row r="19" spans="1:17" x14ac:dyDescent="0.25">
      <c r="A19" s="6">
        <v>18</v>
      </c>
      <c r="B19" s="6" t="s">
        <v>94</v>
      </c>
      <c r="C19" s="6" t="s">
        <v>30</v>
      </c>
      <c r="D19" s="6" t="s">
        <v>37</v>
      </c>
      <c r="E19" s="6" t="s">
        <v>54</v>
      </c>
      <c r="F19" s="6" t="s">
        <v>61</v>
      </c>
      <c r="G19" s="6" t="s">
        <v>226</v>
      </c>
      <c r="H19" s="6" t="s">
        <v>231</v>
      </c>
      <c r="I19" s="9">
        <v>1</v>
      </c>
      <c r="J19" s="6">
        <v>17.556147299999999</v>
      </c>
      <c r="K19" s="6">
        <v>78.164232839999997</v>
      </c>
      <c r="L19" s="6"/>
      <c r="M19" s="6"/>
      <c r="N19" s="6" t="s">
        <v>185</v>
      </c>
      <c r="O19" s="7" t="s">
        <v>180</v>
      </c>
      <c r="P19" s="6"/>
      <c r="Q19" s="8" t="b">
        <v>0</v>
      </c>
    </row>
    <row r="20" spans="1:17" x14ac:dyDescent="0.25">
      <c r="A20" s="6">
        <v>19</v>
      </c>
      <c r="B20" s="6" t="s">
        <v>95</v>
      </c>
      <c r="C20" s="6" t="s">
        <v>31</v>
      </c>
      <c r="D20" s="6" t="s">
        <v>37</v>
      </c>
      <c r="E20" s="6" t="s">
        <v>55</v>
      </c>
      <c r="F20" s="6" t="s">
        <v>64</v>
      </c>
      <c r="G20" s="6" t="s">
        <v>67</v>
      </c>
      <c r="H20" s="6" t="s">
        <v>67</v>
      </c>
      <c r="I20" s="6" t="s">
        <v>67</v>
      </c>
      <c r="J20" s="6">
        <v>17.554552000000001</v>
      </c>
      <c r="K20" s="6">
        <v>78.162942999999999</v>
      </c>
      <c r="L20" s="6"/>
      <c r="M20" s="6"/>
      <c r="N20" s="6" t="s">
        <v>185</v>
      </c>
      <c r="O20" s="6" t="s">
        <v>76</v>
      </c>
      <c r="P20" s="6"/>
      <c r="Q20" s="8" t="b">
        <v>0</v>
      </c>
    </row>
    <row r="21" spans="1:17" x14ac:dyDescent="0.25">
      <c r="A21" s="6">
        <v>20</v>
      </c>
      <c r="B21" s="6" t="s">
        <v>96</v>
      </c>
      <c r="C21" s="6" t="s">
        <v>32</v>
      </c>
      <c r="D21" s="6" t="s">
        <v>37</v>
      </c>
      <c r="E21" s="6" t="s">
        <v>56</v>
      </c>
      <c r="F21" s="6" t="s">
        <v>61</v>
      </c>
      <c r="G21" s="6" t="s">
        <v>241</v>
      </c>
      <c r="H21" s="6" t="s">
        <v>235</v>
      </c>
      <c r="I21" s="6" t="s">
        <v>73</v>
      </c>
      <c r="J21" s="6">
        <v>17.556352090000001</v>
      </c>
      <c r="K21" s="6">
        <v>78.164967590000003</v>
      </c>
      <c r="L21" s="6"/>
      <c r="M21" s="6"/>
      <c r="N21" s="6" t="s">
        <v>185</v>
      </c>
      <c r="O21" s="6"/>
      <c r="P21" s="6"/>
      <c r="Q21" s="8" t="b">
        <v>0</v>
      </c>
    </row>
    <row r="22" spans="1:17" x14ac:dyDescent="0.25">
      <c r="A22" s="6">
        <v>21</v>
      </c>
      <c r="B22" s="6" t="s">
        <v>97</v>
      </c>
      <c r="C22" s="6" t="s">
        <v>33</v>
      </c>
      <c r="D22" s="6" t="s">
        <v>37</v>
      </c>
      <c r="E22" s="6" t="s">
        <v>57</v>
      </c>
      <c r="F22" s="6" t="s">
        <v>61</v>
      </c>
      <c r="G22" s="6" t="s">
        <v>226</v>
      </c>
      <c r="H22" s="6" t="s">
        <v>242</v>
      </c>
      <c r="I22" s="6">
        <v>2</v>
      </c>
      <c r="J22" s="6">
        <v>17.556234570000001</v>
      </c>
      <c r="K22" s="6">
        <v>78.165005649999998</v>
      </c>
      <c r="L22" s="6"/>
      <c r="M22" s="6"/>
      <c r="N22" s="6" t="s">
        <v>186</v>
      </c>
      <c r="O22" s="7" t="s">
        <v>180</v>
      </c>
      <c r="P22" s="6"/>
      <c r="Q22" s="8" t="b">
        <v>0</v>
      </c>
    </row>
    <row r="23" spans="1:17" x14ac:dyDescent="0.25">
      <c r="A23" s="6">
        <v>22</v>
      </c>
      <c r="B23" s="6" t="s">
        <v>98</v>
      </c>
      <c r="C23" s="6" t="s">
        <v>34</v>
      </c>
      <c r="D23" s="6" t="s">
        <v>37</v>
      </c>
      <c r="E23" s="6" t="s">
        <v>58</v>
      </c>
      <c r="F23" s="6" t="s">
        <v>61</v>
      </c>
      <c r="G23" s="6" t="s">
        <v>226</v>
      </c>
      <c r="H23" s="6" t="s">
        <v>231</v>
      </c>
      <c r="I23" s="9">
        <v>1</v>
      </c>
      <c r="J23" s="6">
        <v>17.555649020000001</v>
      </c>
      <c r="K23" s="6">
        <v>78.16512693</v>
      </c>
      <c r="L23" s="6"/>
      <c r="M23" s="6"/>
      <c r="N23" s="6" t="s">
        <v>185</v>
      </c>
      <c r="O23" s="6"/>
      <c r="P23" s="6"/>
      <c r="Q23" s="8" t="b">
        <v>0</v>
      </c>
    </row>
    <row r="24" spans="1:17" x14ac:dyDescent="0.25">
      <c r="A24" s="6">
        <v>23</v>
      </c>
      <c r="B24" s="6" t="s">
        <v>99</v>
      </c>
      <c r="C24" s="6" t="s">
        <v>35</v>
      </c>
      <c r="D24" s="6" t="s">
        <v>37</v>
      </c>
      <c r="E24" s="6" t="s">
        <v>59</v>
      </c>
      <c r="F24" s="6" t="s">
        <v>65</v>
      </c>
      <c r="G24" s="6" t="s">
        <v>67</v>
      </c>
      <c r="H24" s="6" t="s">
        <v>67</v>
      </c>
      <c r="I24" s="9">
        <v>1</v>
      </c>
      <c r="J24" s="6">
        <v>17.55586229</v>
      </c>
      <c r="K24" s="6">
        <v>78.164921489999998</v>
      </c>
      <c r="L24" s="6"/>
      <c r="M24" s="6"/>
      <c r="N24" s="6" t="s">
        <v>67</v>
      </c>
      <c r="O24" s="6"/>
      <c r="P24" s="6"/>
      <c r="Q24" s="8" t="b">
        <v>0</v>
      </c>
    </row>
    <row r="25" spans="1:17" x14ac:dyDescent="0.25">
      <c r="A25" s="6">
        <v>24</v>
      </c>
      <c r="B25" s="6" t="s">
        <v>100</v>
      </c>
      <c r="C25" s="6" t="s">
        <v>36</v>
      </c>
      <c r="D25" s="6" t="s">
        <v>37</v>
      </c>
      <c r="E25" s="6" t="s">
        <v>60</v>
      </c>
      <c r="F25" s="6" t="s">
        <v>61</v>
      </c>
      <c r="G25" s="6" t="s">
        <v>67</v>
      </c>
      <c r="H25" s="6" t="s">
        <v>68</v>
      </c>
      <c r="I25" s="6" t="s">
        <v>73</v>
      </c>
      <c r="J25" s="6">
        <v>17.557231980000001</v>
      </c>
      <c r="K25" s="6">
        <v>78.166636859999997</v>
      </c>
      <c r="L25" s="6"/>
      <c r="M25" s="6"/>
      <c r="N25" s="6" t="s">
        <v>185</v>
      </c>
      <c r="O25" s="6"/>
      <c r="P25" s="6"/>
      <c r="Q25" s="8" t="b">
        <v>0</v>
      </c>
    </row>
    <row r="26" spans="1:17" x14ac:dyDescent="0.25">
      <c r="A26" s="6">
        <f>A25+1</f>
        <v>25</v>
      </c>
      <c r="B26" s="6" t="s">
        <v>103</v>
      </c>
      <c r="C26" s="6" t="s">
        <v>127</v>
      </c>
      <c r="D26" s="6" t="s">
        <v>151</v>
      </c>
      <c r="E26" s="6" t="s">
        <v>152</v>
      </c>
      <c r="F26" s="6" t="s">
        <v>61</v>
      </c>
      <c r="G26" s="6" t="s">
        <v>236</v>
      </c>
      <c r="H26" s="6" t="s">
        <v>68</v>
      </c>
      <c r="I26" s="6">
        <v>1</v>
      </c>
      <c r="J26" s="6">
        <v>17.563238999999999</v>
      </c>
      <c r="K26" s="6">
        <v>78.167642470000004</v>
      </c>
      <c r="L26" s="6"/>
      <c r="M26" s="6"/>
      <c r="N26" s="6" t="s">
        <v>67</v>
      </c>
      <c r="O26" s="7" t="s">
        <v>180</v>
      </c>
      <c r="P26" s="6"/>
      <c r="Q26" s="8" t="b">
        <v>0</v>
      </c>
    </row>
    <row r="27" spans="1:17" x14ac:dyDescent="0.25">
      <c r="A27" s="6">
        <f>A26+1</f>
        <v>26</v>
      </c>
      <c r="B27" s="6" t="s">
        <v>104</v>
      </c>
      <c r="C27" s="6" t="s">
        <v>128</v>
      </c>
      <c r="D27" s="6" t="s">
        <v>151</v>
      </c>
      <c r="E27" s="6" t="s">
        <v>153</v>
      </c>
      <c r="F27" s="6" t="s">
        <v>61</v>
      </c>
      <c r="G27" s="6" t="s">
        <v>67</v>
      </c>
      <c r="H27" s="6" t="s">
        <v>67</v>
      </c>
      <c r="I27" s="6">
        <v>1</v>
      </c>
      <c r="J27" s="6">
        <v>17.563284719999999</v>
      </c>
      <c r="K27" s="6">
        <v>78.167205629999998</v>
      </c>
      <c r="L27" s="6"/>
      <c r="M27" s="6"/>
      <c r="N27" s="6" t="s">
        <v>67</v>
      </c>
      <c r="O27" s="7" t="s">
        <v>182</v>
      </c>
      <c r="P27" s="6"/>
      <c r="Q27" s="8" t="b">
        <v>0</v>
      </c>
    </row>
    <row r="28" spans="1:17" x14ac:dyDescent="0.25">
      <c r="A28" s="6">
        <f>A27+1</f>
        <v>27</v>
      </c>
      <c r="B28" s="6" t="s">
        <v>105</v>
      </c>
      <c r="C28" s="6" t="s">
        <v>129</v>
      </c>
      <c r="D28" s="6" t="s">
        <v>151</v>
      </c>
      <c r="E28" s="6" t="s">
        <v>154</v>
      </c>
      <c r="F28" s="6" t="s">
        <v>61</v>
      </c>
      <c r="G28" s="6" t="s">
        <v>226</v>
      </c>
      <c r="H28" s="6" t="s">
        <v>68</v>
      </c>
      <c r="I28" s="6" t="s">
        <v>73</v>
      </c>
      <c r="J28" s="6">
        <v>17.56290735</v>
      </c>
      <c r="K28" s="6">
        <v>78.167612239999997</v>
      </c>
      <c r="L28" s="6"/>
      <c r="M28" s="6"/>
      <c r="N28" s="6" t="s">
        <v>67</v>
      </c>
      <c r="O28" s="6"/>
      <c r="P28" s="6"/>
      <c r="Q28" s="8" t="b">
        <v>0</v>
      </c>
    </row>
    <row r="29" spans="1:17" x14ac:dyDescent="0.25">
      <c r="A29" s="6">
        <f>A28+1</f>
        <v>28</v>
      </c>
      <c r="B29" s="6" t="s">
        <v>106</v>
      </c>
      <c r="C29" s="6" t="s">
        <v>130</v>
      </c>
      <c r="D29" s="6" t="s">
        <v>151</v>
      </c>
      <c r="E29" s="6" t="s">
        <v>155</v>
      </c>
      <c r="F29" s="6" t="s">
        <v>61</v>
      </c>
      <c r="G29" s="6" t="s">
        <v>67</v>
      </c>
      <c r="H29" s="6" t="s">
        <v>68</v>
      </c>
      <c r="I29" s="6" t="s">
        <v>73</v>
      </c>
      <c r="J29" s="6">
        <v>17.562636779999998</v>
      </c>
      <c r="K29" s="6">
        <v>78.167418229999996</v>
      </c>
      <c r="L29" s="6"/>
      <c r="M29" s="6"/>
      <c r="N29" s="6" t="s">
        <v>185</v>
      </c>
      <c r="O29" s="6" t="s">
        <v>183</v>
      </c>
      <c r="P29" s="6"/>
      <c r="Q29" s="8" t="b">
        <v>0</v>
      </c>
    </row>
    <row r="30" spans="1:17" x14ac:dyDescent="0.25">
      <c r="A30" s="6">
        <f>A29+1</f>
        <v>29</v>
      </c>
      <c r="B30" s="6" t="s">
        <v>107</v>
      </c>
      <c r="C30" s="6" t="s">
        <v>131</v>
      </c>
      <c r="D30" s="6" t="s">
        <v>151</v>
      </c>
      <c r="E30" s="6" t="s">
        <v>156</v>
      </c>
      <c r="F30" s="6" t="s">
        <v>61</v>
      </c>
      <c r="G30" s="6" t="s">
        <v>67</v>
      </c>
      <c r="H30" s="6" t="s">
        <v>67</v>
      </c>
      <c r="I30" s="6" t="s">
        <v>178</v>
      </c>
      <c r="J30" s="6">
        <v>17.562315609999999</v>
      </c>
      <c r="K30" s="6">
        <v>78.167411329999993</v>
      </c>
      <c r="L30" s="6"/>
      <c r="M30" s="6"/>
      <c r="N30" s="6" t="s">
        <v>67</v>
      </c>
      <c r="O30" s="6" t="s">
        <v>183</v>
      </c>
      <c r="P30" s="6"/>
      <c r="Q30" s="8" t="b">
        <v>0</v>
      </c>
    </row>
    <row r="31" spans="1:17" x14ac:dyDescent="0.25">
      <c r="A31" s="6">
        <f>A30+1</f>
        <v>30</v>
      </c>
      <c r="B31" s="6" t="s">
        <v>108</v>
      </c>
      <c r="C31" s="6" t="s">
        <v>132</v>
      </c>
      <c r="D31" s="6" t="s">
        <v>151</v>
      </c>
      <c r="E31" s="6" t="s">
        <v>157</v>
      </c>
      <c r="F31" s="6" t="s">
        <v>61</v>
      </c>
      <c r="G31" s="6" t="s">
        <v>225</v>
      </c>
      <c r="H31" s="6" t="s">
        <v>68</v>
      </c>
      <c r="I31" s="6" t="s">
        <v>73</v>
      </c>
      <c r="J31" s="6">
        <v>17.56278004</v>
      </c>
      <c r="K31" s="6">
        <v>78.167956250000003</v>
      </c>
      <c r="L31" s="6"/>
      <c r="M31" s="6"/>
      <c r="N31" s="6" t="s">
        <v>67</v>
      </c>
      <c r="O31" s="6"/>
      <c r="P31" s="6"/>
      <c r="Q31" s="8" t="b">
        <v>0</v>
      </c>
    </row>
    <row r="32" spans="1:17" x14ac:dyDescent="0.25">
      <c r="A32" s="6">
        <f>A31+1</f>
        <v>31</v>
      </c>
      <c r="B32" s="6" t="s">
        <v>109</v>
      </c>
      <c r="C32" s="6" t="s">
        <v>133</v>
      </c>
      <c r="D32" s="6" t="s">
        <v>151</v>
      </c>
      <c r="E32" s="6" t="s">
        <v>158</v>
      </c>
      <c r="F32" s="6" t="s">
        <v>61</v>
      </c>
      <c r="G32" s="6" t="s">
        <v>226</v>
      </c>
      <c r="H32" s="6" t="s">
        <v>68</v>
      </c>
      <c r="I32" s="6" t="s">
        <v>73</v>
      </c>
      <c r="J32" s="6">
        <v>17.562734500000001</v>
      </c>
      <c r="K32" s="6">
        <v>78.168246190000005</v>
      </c>
      <c r="L32" s="6"/>
      <c r="M32" s="6"/>
      <c r="N32" s="6" t="s">
        <v>67</v>
      </c>
      <c r="O32" s="7" t="s">
        <v>180</v>
      </c>
      <c r="P32" s="6"/>
      <c r="Q32" s="8" t="b">
        <v>0</v>
      </c>
    </row>
    <row r="33" spans="1:17" x14ac:dyDescent="0.25">
      <c r="A33" s="6">
        <f>A32+1</f>
        <v>32</v>
      </c>
      <c r="B33" s="6" t="s">
        <v>110</v>
      </c>
      <c r="C33" s="6" t="s">
        <v>134</v>
      </c>
      <c r="D33" s="6" t="s">
        <v>151</v>
      </c>
      <c r="E33" s="6" t="s">
        <v>159</v>
      </c>
      <c r="F33" s="6" t="s">
        <v>61</v>
      </c>
      <c r="G33" s="6" t="s">
        <v>67</v>
      </c>
      <c r="H33" s="6" t="s">
        <v>67</v>
      </c>
      <c r="I33" s="6" t="s">
        <v>73</v>
      </c>
      <c r="J33" s="6">
        <v>17.56310101</v>
      </c>
      <c r="K33" s="6">
        <v>78.167821739999994</v>
      </c>
      <c r="L33" s="6"/>
      <c r="M33" s="6"/>
      <c r="N33" s="6" t="s">
        <v>67</v>
      </c>
      <c r="O33" s="6" t="s">
        <v>183</v>
      </c>
      <c r="P33" s="6"/>
      <c r="Q33" s="8" t="b">
        <v>0</v>
      </c>
    </row>
    <row r="34" spans="1:17" x14ac:dyDescent="0.25">
      <c r="A34" s="6">
        <f>A33+1</f>
        <v>33</v>
      </c>
      <c r="B34" s="6" t="s">
        <v>111</v>
      </c>
      <c r="C34" s="6" t="s">
        <v>135</v>
      </c>
      <c r="D34" s="6" t="s">
        <v>151</v>
      </c>
      <c r="E34" s="6" t="s">
        <v>160</v>
      </c>
      <c r="F34" s="6" t="s">
        <v>61</v>
      </c>
      <c r="G34" s="6" t="s">
        <v>234</v>
      </c>
      <c r="H34" s="6" t="s">
        <v>235</v>
      </c>
      <c r="I34" s="6" t="s">
        <v>73</v>
      </c>
      <c r="J34" s="6">
        <v>17.56362476</v>
      </c>
      <c r="K34" s="6">
        <v>78.16665879</v>
      </c>
      <c r="L34" s="6"/>
      <c r="M34" s="6"/>
      <c r="N34" s="6" t="s">
        <v>67</v>
      </c>
      <c r="O34" s="6"/>
      <c r="P34" s="6"/>
      <c r="Q34" s="8" t="b">
        <v>0</v>
      </c>
    </row>
    <row r="35" spans="1:17" x14ac:dyDescent="0.25">
      <c r="A35" s="6">
        <f>A34+1</f>
        <v>34</v>
      </c>
      <c r="B35" s="6" t="s">
        <v>112</v>
      </c>
      <c r="C35" s="6" t="s">
        <v>136</v>
      </c>
      <c r="D35" s="6" t="s">
        <v>151</v>
      </c>
      <c r="E35" s="6" t="s">
        <v>161</v>
      </c>
      <c r="F35" s="6" t="s">
        <v>61</v>
      </c>
      <c r="G35" s="6" t="s">
        <v>225</v>
      </c>
      <c r="H35" s="6" t="s">
        <v>68</v>
      </c>
      <c r="I35" s="6" t="s">
        <v>73</v>
      </c>
      <c r="J35" s="6">
        <v>17.56364714</v>
      </c>
      <c r="K35" s="6">
        <v>78.166161770000002</v>
      </c>
      <c r="L35" s="6"/>
      <c r="M35" s="6"/>
      <c r="N35" s="6" t="s">
        <v>185</v>
      </c>
      <c r="O35" s="7" t="s">
        <v>180</v>
      </c>
      <c r="P35" s="6"/>
      <c r="Q35" s="8" t="b">
        <v>0</v>
      </c>
    </row>
    <row r="36" spans="1:17" x14ac:dyDescent="0.25">
      <c r="A36" s="6">
        <f>A35+1</f>
        <v>35</v>
      </c>
      <c r="B36" s="6" t="s">
        <v>113</v>
      </c>
      <c r="C36" s="6" t="s">
        <v>137</v>
      </c>
      <c r="D36" s="6" t="s">
        <v>151</v>
      </c>
      <c r="E36" s="6" t="s">
        <v>162</v>
      </c>
      <c r="F36" s="6" t="s">
        <v>62</v>
      </c>
      <c r="G36" s="6" t="s">
        <v>67</v>
      </c>
      <c r="H36" s="6" t="s">
        <v>67</v>
      </c>
      <c r="I36" s="6" t="s">
        <v>73</v>
      </c>
      <c r="J36" s="6">
        <v>17.56326348</v>
      </c>
      <c r="K36" s="6">
        <v>78.165836769999999</v>
      </c>
      <c r="L36" s="6"/>
      <c r="M36" s="6"/>
      <c r="N36" s="6" t="s">
        <v>67</v>
      </c>
      <c r="O36" s="6"/>
      <c r="P36" s="6"/>
      <c r="Q36" s="8" t="b">
        <v>0</v>
      </c>
    </row>
    <row r="37" spans="1:17" x14ac:dyDescent="0.25">
      <c r="A37" s="6">
        <f>A36+1</f>
        <v>36</v>
      </c>
      <c r="B37" s="6" t="s">
        <v>114</v>
      </c>
      <c r="C37" s="6" t="s">
        <v>138</v>
      </c>
      <c r="D37" s="6" t="s">
        <v>151</v>
      </c>
      <c r="E37" s="6" t="s">
        <v>163</v>
      </c>
      <c r="F37" s="6" t="s">
        <v>61</v>
      </c>
      <c r="G37" s="6" t="s">
        <v>67</v>
      </c>
      <c r="H37" s="6" t="s">
        <v>67</v>
      </c>
      <c r="I37" s="6" t="s">
        <v>73</v>
      </c>
      <c r="J37" s="6">
        <v>17.561926029999999</v>
      </c>
      <c r="K37" s="6">
        <v>78.165760750000004</v>
      </c>
      <c r="L37" s="6"/>
      <c r="M37" s="6"/>
      <c r="N37" s="6" t="s">
        <v>67</v>
      </c>
      <c r="O37" s="7" t="s">
        <v>182</v>
      </c>
      <c r="P37" s="6"/>
      <c r="Q37" s="8" t="b">
        <v>0</v>
      </c>
    </row>
    <row r="38" spans="1:17" x14ac:dyDescent="0.25">
      <c r="A38" s="6">
        <f>A37+1</f>
        <v>37</v>
      </c>
      <c r="B38" s="6" t="s">
        <v>115</v>
      </c>
      <c r="C38" s="6" t="s">
        <v>139</v>
      </c>
      <c r="D38" s="6" t="s">
        <v>151</v>
      </c>
      <c r="E38" s="6" t="s">
        <v>164</v>
      </c>
      <c r="F38" s="6" t="s">
        <v>61</v>
      </c>
      <c r="G38" s="6" t="s">
        <v>226</v>
      </c>
      <c r="H38" s="6" t="s">
        <v>71</v>
      </c>
      <c r="I38" s="6">
        <v>2</v>
      </c>
      <c r="J38" s="6">
        <v>17.563472239999999</v>
      </c>
      <c r="K38" s="6">
        <v>78.165236129999997</v>
      </c>
      <c r="L38" s="6"/>
      <c r="M38" s="6"/>
      <c r="N38" s="6" t="s">
        <v>67</v>
      </c>
      <c r="O38" s="7" t="s">
        <v>180</v>
      </c>
      <c r="P38" s="6"/>
      <c r="Q38" s="8" t="b">
        <v>0</v>
      </c>
    </row>
    <row r="39" spans="1:17" x14ac:dyDescent="0.25">
      <c r="A39" s="6">
        <f>A38+1</f>
        <v>38</v>
      </c>
      <c r="B39" s="6" t="s">
        <v>116</v>
      </c>
      <c r="C39" s="6" t="s">
        <v>140</v>
      </c>
      <c r="D39" s="6" t="s">
        <v>151</v>
      </c>
      <c r="E39" s="6" t="s">
        <v>165</v>
      </c>
      <c r="F39" s="6" t="s">
        <v>61</v>
      </c>
      <c r="G39" s="6" t="s">
        <v>226</v>
      </c>
      <c r="H39" s="6" t="s">
        <v>71</v>
      </c>
      <c r="I39" s="6" t="s">
        <v>179</v>
      </c>
      <c r="J39" s="6">
        <v>17.563763550000001</v>
      </c>
      <c r="K39" s="6">
        <v>78.165157919999999</v>
      </c>
      <c r="L39" s="6"/>
      <c r="M39" s="6"/>
      <c r="N39" s="6" t="s">
        <v>67</v>
      </c>
      <c r="O39" s="7" t="s">
        <v>180</v>
      </c>
      <c r="P39" s="6"/>
      <c r="Q39" s="8" t="b">
        <v>0</v>
      </c>
    </row>
    <row r="40" spans="1:17" x14ac:dyDescent="0.25">
      <c r="A40" s="6">
        <f>A39+1</f>
        <v>39</v>
      </c>
      <c r="B40" s="6" t="s">
        <v>117</v>
      </c>
      <c r="C40" s="6" t="s">
        <v>141</v>
      </c>
      <c r="D40" s="6" t="s">
        <v>151</v>
      </c>
      <c r="E40" s="6" t="s">
        <v>166</v>
      </c>
      <c r="F40" s="6" t="s">
        <v>62</v>
      </c>
      <c r="G40" s="6" t="s">
        <v>67</v>
      </c>
      <c r="H40" s="6" t="s">
        <v>67</v>
      </c>
      <c r="I40" s="6" t="s">
        <v>67</v>
      </c>
      <c r="J40" s="6">
        <v>17.562867409999999</v>
      </c>
      <c r="K40" s="6">
        <v>78.16655797</v>
      </c>
      <c r="L40" s="6"/>
      <c r="M40" s="6"/>
      <c r="N40" s="6" t="s">
        <v>67</v>
      </c>
      <c r="O40" s="6"/>
      <c r="P40" s="6"/>
      <c r="Q40" s="8" t="b">
        <v>0</v>
      </c>
    </row>
    <row r="41" spans="1:17" x14ac:dyDescent="0.25">
      <c r="A41" s="6">
        <f>A40+1</f>
        <v>40</v>
      </c>
      <c r="B41" s="6" t="s">
        <v>118</v>
      </c>
      <c r="C41" s="6" t="s">
        <v>142</v>
      </c>
      <c r="D41" s="6" t="s">
        <v>151</v>
      </c>
      <c r="E41" s="6" t="s">
        <v>167</v>
      </c>
      <c r="F41" s="6" t="s">
        <v>61</v>
      </c>
      <c r="G41" s="6" t="s">
        <v>67</v>
      </c>
      <c r="H41" s="6" t="s">
        <v>67</v>
      </c>
      <c r="I41" s="6" t="s">
        <v>73</v>
      </c>
      <c r="J41" s="6">
        <v>17.56290057</v>
      </c>
      <c r="K41" s="6">
        <v>78.166862739999999</v>
      </c>
      <c r="L41" s="6"/>
      <c r="M41" s="6"/>
      <c r="N41" s="6" t="s">
        <v>67</v>
      </c>
      <c r="O41" s="6" t="s">
        <v>183</v>
      </c>
      <c r="P41" s="6"/>
      <c r="Q41" s="8" t="b">
        <v>0</v>
      </c>
    </row>
    <row r="42" spans="1:17" x14ac:dyDescent="0.25">
      <c r="A42" s="6">
        <f>A41+1</f>
        <v>41</v>
      </c>
      <c r="B42" s="6" t="s">
        <v>119</v>
      </c>
      <c r="C42" s="6" t="s">
        <v>143</v>
      </c>
      <c r="D42" s="6" t="s">
        <v>151</v>
      </c>
      <c r="E42" s="6" t="s">
        <v>168</v>
      </c>
      <c r="F42" s="6" t="s">
        <v>62</v>
      </c>
      <c r="G42" s="6" t="s">
        <v>237</v>
      </c>
      <c r="H42" s="6" t="s">
        <v>68</v>
      </c>
      <c r="I42" s="6" t="s">
        <v>67</v>
      </c>
      <c r="J42" s="6">
        <v>17.56200359</v>
      </c>
      <c r="K42" s="6">
        <v>78.168617929999996</v>
      </c>
      <c r="L42" s="6"/>
      <c r="M42" s="6"/>
      <c r="N42" s="6" t="s">
        <v>67</v>
      </c>
      <c r="O42" s="6"/>
      <c r="P42" s="6"/>
      <c r="Q42" s="8" t="b">
        <v>0</v>
      </c>
    </row>
    <row r="43" spans="1:17" x14ac:dyDescent="0.25">
      <c r="A43" s="6">
        <f>A42+1</f>
        <v>42</v>
      </c>
      <c r="B43" s="6" t="s">
        <v>120</v>
      </c>
      <c r="C43" s="6" t="s">
        <v>144</v>
      </c>
      <c r="D43" s="6" t="s">
        <v>151</v>
      </c>
      <c r="E43" s="6" t="s">
        <v>169</v>
      </c>
      <c r="F43" s="6" t="s">
        <v>62</v>
      </c>
      <c r="G43" s="6" t="s">
        <v>226</v>
      </c>
      <c r="H43" s="6" t="s">
        <v>68</v>
      </c>
      <c r="I43" s="6" t="s">
        <v>67</v>
      </c>
      <c r="J43" s="6">
        <v>17.561830199999999</v>
      </c>
      <c r="K43" s="6">
        <v>78.168640359999998</v>
      </c>
      <c r="L43" s="6"/>
      <c r="M43" s="6"/>
      <c r="N43" s="6" t="s">
        <v>67</v>
      </c>
      <c r="O43" s="6"/>
      <c r="P43" s="6"/>
      <c r="Q43" s="8" t="b">
        <v>0</v>
      </c>
    </row>
    <row r="44" spans="1:17" x14ac:dyDescent="0.25">
      <c r="A44" s="6">
        <f>A43+1</f>
        <v>43</v>
      </c>
      <c r="B44" s="6" t="s">
        <v>121</v>
      </c>
      <c r="C44" s="6" t="s">
        <v>145</v>
      </c>
      <c r="D44" s="6" t="s">
        <v>151</v>
      </c>
      <c r="E44" s="6" t="s">
        <v>170</v>
      </c>
      <c r="F44" s="6" t="s">
        <v>62</v>
      </c>
      <c r="G44" s="6" t="s">
        <v>67</v>
      </c>
      <c r="H44" s="6" t="s">
        <v>67</v>
      </c>
      <c r="I44" s="6" t="s">
        <v>67</v>
      </c>
      <c r="J44" s="6">
        <v>17.561396630000001</v>
      </c>
      <c r="K44" s="6">
        <v>78.167789690000006</v>
      </c>
      <c r="L44" s="6"/>
      <c r="M44" s="6"/>
      <c r="N44" s="6" t="s">
        <v>67</v>
      </c>
      <c r="O44" s="6"/>
      <c r="P44" s="6"/>
      <c r="Q44" s="8" t="b">
        <v>0</v>
      </c>
    </row>
    <row r="45" spans="1:17" x14ac:dyDescent="0.25">
      <c r="A45" s="6">
        <f>A44+1</f>
        <v>44</v>
      </c>
      <c r="B45" s="6" t="s">
        <v>122</v>
      </c>
      <c r="C45" s="6" t="s">
        <v>146</v>
      </c>
      <c r="D45" s="6" t="s">
        <v>151</v>
      </c>
      <c r="E45" s="6" t="s">
        <v>171</v>
      </c>
      <c r="F45" s="6" t="s">
        <v>61</v>
      </c>
      <c r="G45" s="6" t="s">
        <v>225</v>
      </c>
      <c r="H45" s="6" t="s">
        <v>69</v>
      </c>
      <c r="I45" s="6" t="s">
        <v>178</v>
      </c>
      <c r="J45" s="6">
        <v>17.559750600000001</v>
      </c>
      <c r="K45" s="6">
        <v>78.16803874</v>
      </c>
      <c r="L45" s="6"/>
      <c r="M45" s="6"/>
      <c r="N45" s="6" t="s">
        <v>185</v>
      </c>
      <c r="O45" s="7" t="s">
        <v>180</v>
      </c>
      <c r="P45" s="6"/>
      <c r="Q45" s="8" t="b">
        <v>0</v>
      </c>
    </row>
    <row r="46" spans="1:17" x14ac:dyDescent="0.25">
      <c r="A46" s="6">
        <f>A45+1</f>
        <v>45</v>
      </c>
      <c r="B46" s="6" t="s">
        <v>123</v>
      </c>
      <c r="C46" s="6" t="s">
        <v>147</v>
      </c>
      <c r="D46" s="6" t="s">
        <v>151</v>
      </c>
      <c r="E46" s="6" t="s">
        <v>172</v>
      </c>
      <c r="F46" s="6" t="s">
        <v>61</v>
      </c>
      <c r="G46" s="6" t="s">
        <v>177</v>
      </c>
      <c r="H46" s="6" t="s">
        <v>67</v>
      </c>
      <c r="I46" s="6">
        <v>1</v>
      </c>
      <c r="J46" s="6">
        <v>17.56221184</v>
      </c>
      <c r="K46" s="6">
        <v>78.169453770000004</v>
      </c>
      <c r="L46" s="6"/>
      <c r="M46" s="6"/>
      <c r="N46" s="6" t="s">
        <v>185</v>
      </c>
      <c r="O46" s="7" t="s">
        <v>182</v>
      </c>
      <c r="P46" s="6"/>
      <c r="Q46" s="8" t="b">
        <v>0</v>
      </c>
    </row>
    <row r="47" spans="1:17" x14ac:dyDescent="0.25">
      <c r="A47" s="6">
        <f>A46+1</f>
        <v>46</v>
      </c>
      <c r="B47" s="6" t="s">
        <v>124</v>
      </c>
      <c r="C47" s="6" t="s">
        <v>148</v>
      </c>
      <c r="D47" s="6" t="s">
        <v>151</v>
      </c>
      <c r="E47" s="6" t="s">
        <v>173</v>
      </c>
      <c r="F47" s="6" t="s">
        <v>61</v>
      </c>
      <c r="G47" s="6" t="s">
        <v>67</v>
      </c>
      <c r="H47" s="6" t="s">
        <v>67</v>
      </c>
      <c r="I47" s="6" t="s">
        <v>178</v>
      </c>
      <c r="J47" s="6">
        <v>17.56090841</v>
      </c>
      <c r="K47" s="6">
        <v>78.166392560000006</v>
      </c>
      <c r="L47" s="6"/>
      <c r="M47" s="6"/>
      <c r="N47" s="6" t="s">
        <v>185</v>
      </c>
      <c r="O47" s="7" t="s">
        <v>182</v>
      </c>
      <c r="P47" s="6"/>
      <c r="Q47" s="8" t="b">
        <v>0</v>
      </c>
    </row>
    <row r="48" spans="1:17" x14ac:dyDescent="0.25">
      <c r="A48" s="6">
        <f>A47+1</f>
        <v>47</v>
      </c>
      <c r="B48" s="6" t="s">
        <v>125</v>
      </c>
      <c r="C48" s="6" t="s">
        <v>149</v>
      </c>
      <c r="D48" s="6" t="s">
        <v>151</v>
      </c>
      <c r="E48" s="6" t="s">
        <v>174</v>
      </c>
      <c r="F48" s="6" t="s">
        <v>61</v>
      </c>
      <c r="G48" s="6" t="s">
        <v>67</v>
      </c>
      <c r="H48" s="6" t="s">
        <v>67</v>
      </c>
      <c r="I48" s="6" t="s">
        <v>67</v>
      </c>
      <c r="J48" s="6">
        <v>17.56166906</v>
      </c>
      <c r="K48" s="6">
        <v>78.166287109999999</v>
      </c>
      <c r="L48" s="6"/>
      <c r="M48" s="6"/>
      <c r="N48" s="6" t="s">
        <v>67</v>
      </c>
      <c r="O48" s="6" t="s">
        <v>183</v>
      </c>
      <c r="P48" s="6"/>
      <c r="Q48" s="8" t="b">
        <v>0</v>
      </c>
    </row>
    <row r="49" spans="1:17" x14ac:dyDescent="0.25">
      <c r="A49" s="6">
        <f>A48+1</f>
        <v>48</v>
      </c>
      <c r="B49" s="6" t="s">
        <v>126</v>
      </c>
      <c r="C49" s="6" t="s">
        <v>150</v>
      </c>
      <c r="D49" s="6" t="s">
        <v>151</v>
      </c>
      <c r="E49" s="6" t="s">
        <v>175</v>
      </c>
      <c r="F49" s="6" t="s">
        <v>61</v>
      </c>
      <c r="G49" s="6" t="s">
        <v>226</v>
      </c>
      <c r="H49" s="6" t="s">
        <v>68</v>
      </c>
      <c r="I49" s="6" t="s">
        <v>67</v>
      </c>
      <c r="J49" s="6">
        <v>17.560347140000001</v>
      </c>
      <c r="K49" s="6">
        <v>78.165668920000002</v>
      </c>
      <c r="L49" s="6"/>
      <c r="M49" s="6"/>
      <c r="N49" s="6" t="s">
        <v>67</v>
      </c>
      <c r="O49" s="6"/>
      <c r="P49" s="6"/>
      <c r="Q49" s="8" t="b">
        <v>0</v>
      </c>
    </row>
    <row r="50" spans="1:17" x14ac:dyDescent="0.25">
      <c r="A50" s="6">
        <f>A49+1</f>
        <v>49</v>
      </c>
      <c r="B50" s="6" t="s">
        <v>187</v>
      </c>
      <c r="C50" s="6" t="s">
        <v>201</v>
      </c>
      <c r="D50" s="6" t="s">
        <v>199</v>
      </c>
      <c r="E50" s="6" t="s">
        <v>200</v>
      </c>
      <c r="F50" s="6" t="s">
        <v>61</v>
      </c>
      <c r="G50" s="6" t="s">
        <v>176</v>
      </c>
      <c r="H50" s="6" t="s">
        <v>71</v>
      </c>
      <c r="I50" s="6" t="s">
        <v>227</v>
      </c>
      <c r="J50" s="6">
        <v>17.56439958</v>
      </c>
      <c r="K50" s="6">
        <v>78.169172869999997</v>
      </c>
      <c r="L50" s="6"/>
      <c r="M50" s="6"/>
      <c r="N50" s="6" t="s">
        <v>186</v>
      </c>
      <c r="O50" s="7" t="s">
        <v>228</v>
      </c>
      <c r="P50" s="6"/>
      <c r="Q50" s="8" t="b">
        <v>0</v>
      </c>
    </row>
    <row r="51" spans="1:17" x14ac:dyDescent="0.25">
      <c r="A51" s="6">
        <f>A50+1</f>
        <v>50</v>
      </c>
      <c r="B51" s="6" t="s">
        <v>188</v>
      </c>
      <c r="C51" s="6" t="s">
        <v>202</v>
      </c>
      <c r="D51" s="6" t="s">
        <v>199</v>
      </c>
      <c r="E51" s="6" t="s">
        <v>213</v>
      </c>
      <c r="F51" s="6" t="s">
        <v>61</v>
      </c>
      <c r="G51" s="6" t="s">
        <v>67</v>
      </c>
      <c r="H51" s="6" t="s">
        <v>67</v>
      </c>
      <c r="I51" s="6" t="s">
        <v>67</v>
      </c>
      <c r="J51" s="6">
        <v>17.5646351</v>
      </c>
      <c r="K51" s="6">
        <v>78.168407619999996</v>
      </c>
      <c r="L51" s="6"/>
      <c r="M51" s="6"/>
      <c r="N51" s="6" t="s">
        <v>67</v>
      </c>
      <c r="O51" s="10" t="s">
        <v>229</v>
      </c>
      <c r="P51" s="6"/>
      <c r="Q51" s="8" t="b">
        <v>0</v>
      </c>
    </row>
    <row r="52" spans="1:17" x14ac:dyDescent="0.25">
      <c r="A52" s="6">
        <f>A51+1</f>
        <v>51</v>
      </c>
      <c r="B52" s="6" t="s">
        <v>189</v>
      </c>
      <c r="C52" s="6" t="s">
        <v>203</v>
      </c>
      <c r="D52" s="6" t="s">
        <v>199</v>
      </c>
      <c r="E52" s="6" t="s">
        <v>214</v>
      </c>
      <c r="F52" s="6" t="s">
        <v>61</v>
      </c>
      <c r="G52" s="6" t="s">
        <v>225</v>
      </c>
      <c r="H52" s="6" t="s">
        <v>71</v>
      </c>
      <c r="I52" s="6" t="s">
        <v>73</v>
      </c>
      <c r="J52" s="6">
        <v>17.564111629999999</v>
      </c>
      <c r="K52" s="6">
        <v>78.168390130000006</v>
      </c>
      <c r="L52" s="6"/>
      <c r="M52" s="6"/>
      <c r="N52" s="6" t="s">
        <v>185</v>
      </c>
      <c r="O52" s="6"/>
      <c r="P52" s="6"/>
      <c r="Q52" s="8" t="b">
        <v>0</v>
      </c>
    </row>
    <row r="53" spans="1:17" x14ac:dyDescent="0.25">
      <c r="A53" s="6">
        <f>A52+1</f>
        <v>52</v>
      </c>
      <c r="B53" s="6" t="s">
        <v>190</v>
      </c>
      <c r="C53" s="6" t="s">
        <v>204</v>
      </c>
      <c r="D53" s="6" t="s">
        <v>199</v>
      </c>
      <c r="E53" s="6" t="s">
        <v>215</v>
      </c>
      <c r="F53" s="6" t="s">
        <v>62</v>
      </c>
      <c r="G53" s="6" t="s">
        <v>67</v>
      </c>
      <c r="H53" s="6" t="s">
        <v>67</v>
      </c>
      <c r="I53" s="6" t="s">
        <v>67</v>
      </c>
      <c r="J53" s="6">
        <v>17.56409803</v>
      </c>
      <c r="K53" s="6">
        <v>78.168386380000001</v>
      </c>
      <c r="L53" s="6"/>
      <c r="M53" s="6"/>
      <c r="N53" s="6" t="s">
        <v>67</v>
      </c>
      <c r="O53" s="6"/>
      <c r="P53" s="6"/>
      <c r="Q53" s="8" t="b">
        <v>0</v>
      </c>
    </row>
    <row r="54" spans="1:17" x14ac:dyDescent="0.25">
      <c r="A54" s="6">
        <f>A53+1</f>
        <v>53</v>
      </c>
      <c r="B54" s="6" t="s">
        <v>191</v>
      </c>
      <c r="C54" s="6" t="s">
        <v>205</v>
      </c>
      <c r="D54" s="6" t="s">
        <v>199</v>
      </c>
      <c r="E54" s="6" t="s">
        <v>216</v>
      </c>
      <c r="F54" s="6" t="s">
        <v>62</v>
      </c>
      <c r="G54" s="6" t="s">
        <v>67</v>
      </c>
      <c r="H54" s="6" t="s">
        <v>67</v>
      </c>
      <c r="I54" s="6" t="s">
        <v>67</v>
      </c>
      <c r="J54" s="6">
        <v>17.565055749999999</v>
      </c>
      <c r="K54" s="6">
        <v>78.167591360000003</v>
      </c>
      <c r="L54" s="6"/>
      <c r="M54" s="6"/>
      <c r="N54" s="6" t="s">
        <v>67</v>
      </c>
      <c r="O54" s="6"/>
      <c r="P54" s="6"/>
      <c r="Q54" s="8" t="b">
        <v>0</v>
      </c>
    </row>
    <row r="55" spans="1:17" x14ac:dyDescent="0.25">
      <c r="A55" s="6">
        <f>A54+1</f>
        <v>54</v>
      </c>
      <c r="B55" s="6" t="s">
        <v>192</v>
      </c>
      <c r="C55" s="6" t="s">
        <v>206</v>
      </c>
      <c r="D55" s="6" t="s">
        <v>199</v>
      </c>
      <c r="E55" s="6" t="s">
        <v>217</v>
      </c>
      <c r="F55" s="6" t="s">
        <v>61</v>
      </c>
      <c r="G55" s="6" t="s">
        <v>230</v>
      </c>
      <c r="H55" s="6" t="s">
        <v>71</v>
      </c>
      <c r="I55" s="6" t="s">
        <v>227</v>
      </c>
      <c r="J55" s="6">
        <v>17.56503944</v>
      </c>
      <c r="K55" s="6">
        <v>78.167588807000001</v>
      </c>
      <c r="L55" s="6"/>
      <c r="M55" s="6"/>
      <c r="N55" s="6" t="s">
        <v>185</v>
      </c>
      <c r="O55" s="6"/>
      <c r="P55" s="6"/>
      <c r="Q55" s="8" t="b">
        <v>0</v>
      </c>
    </row>
    <row r="56" spans="1:17" x14ac:dyDescent="0.25">
      <c r="A56" s="6">
        <f>A55+1</f>
        <v>55</v>
      </c>
      <c r="B56" s="6" t="s">
        <v>193</v>
      </c>
      <c r="C56" s="6" t="s">
        <v>207</v>
      </c>
      <c r="D56" s="6" t="s">
        <v>199</v>
      </c>
      <c r="E56" s="6" t="s">
        <v>218</v>
      </c>
      <c r="F56" s="6" t="s">
        <v>61</v>
      </c>
      <c r="G56" s="6" t="s">
        <v>225</v>
      </c>
      <c r="H56" s="6" t="s">
        <v>231</v>
      </c>
      <c r="I56" s="6" t="s">
        <v>178</v>
      </c>
      <c r="J56" s="6">
        <v>17.565572960000001</v>
      </c>
      <c r="K56" s="6">
        <v>78.167700960000005</v>
      </c>
      <c r="L56" s="6"/>
      <c r="M56" s="6"/>
      <c r="N56" s="6" t="s">
        <v>185</v>
      </c>
      <c r="O56" s="7" t="s">
        <v>180</v>
      </c>
      <c r="P56" s="6"/>
      <c r="Q56" s="8" t="b">
        <v>0</v>
      </c>
    </row>
    <row r="57" spans="1:17" x14ac:dyDescent="0.25">
      <c r="A57" s="6">
        <f>A56+1</f>
        <v>56</v>
      </c>
      <c r="B57" s="6" t="s">
        <v>194</v>
      </c>
      <c r="C57" s="6" t="s">
        <v>208</v>
      </c>
      <c r="D57" s="6" t="s">
        <v>199</v>
      </c>
      <c r="E57" s="6" t="s">
        <v>219</v>
      </c>
      <c r="F57" s="6" t="s">
        <v>61</v>
      </c>
      <c r="G57" s="6" t="s">
        <v>224</v>
      </c>
      <c r="H57" s="6" t="s">
        <v>231</v>
      </c>
      <c r="I57" s="6" t="s">
        <v>227</v>
      </c>
      <c r="J57" s="6">
        <v>17.565841819999999</v>
      </c>
      <c r="K57" s="6">
        <v>78.166002399999996</v>
      </c>
      <c r="L57" s="6"/>
      <c r="M57" s="6"/>
      <c r="N57" s="6" t="s">
        <v>67</v>
      </c>
      <c r="O57" s="7" t="s">
        <v>180</v>
      </c>
      <c r="P57" s="6"/>
      <c r="Q57" s="8" t="b">
        <v>0</v>
      </c>
    </row>
    <row r="58" spans="1:17" x14ac:dyDescent="0.25">
      <c r="A58" s="6">
        <f>A57+1</f>
        <v>57</v>
      </c>
      <c r="B58" s="6" t="s">
        <v>195</v>
      </c>
      <c r="C58" s="6" t="s">
        <v>209</v>
      </c>
      <c r="D58" s="6" t="s">
        <v>199</v>
      </c>
      <c r="E58" s="6" t="s">
        <v>220</v>
      </c>
      <c r="F58" s="6" t="s">
        <v>61</v>
      </c>
      <c r="G58" s="6" t="s">
        <v>176</v>
      </c>
      <c r="H58" s="6" t="s">
        <v>71</v>
      </c>
      <c r="I58" s="6" t="s">
        <v>227</v>
      </c>
      <c r="J58" s="6">
        <v>17.56524155</v>
      </c>
      <c r="K58" s="6">
        <v>78.166115120000001</v>
      </c>
      <c r="L58" s="6"/>
      <c r="M58" s="6"/>
      <c r="N58" s="6" t="s">
        <v>67</v>
      </c>
      <c r="O58" s="7" t="s">
        <v>180</v>
      </c>
      <c r="P58" s="6"/>
      <c r="Q58" s="8" t="b">
        <v>0</v>
      </c>
    </row>
    <row r="59" spans="1:17" x14ac:dyDescent="0.25">
      <c r="A59" s="6">
        <f>A58+1</f>
        <v>58</v>
      </c>
      <c r="B59" s="6" t="s">
        <v>196</v>
      </c>
      <c r="C59" s="6" t="s">
        <v>210</v>
      </c>
      <c r="D59" s="6" t="s">
        <v>199</v>
      </c>
      <c r="E59" s="6" t="s">
        <v>221</v>
      </c>
      <c r="F59" s="6" t="s">
        <v>61</v>
      </c>
      <c r="G59" s="6" t="s">
        <v>232</v>
      </c>
      <c r="H59" s="6" t="s">
        <v>71</v>
      </c>
      <c r="I59" s="6" t="s">
        <v>227</v>
      </c>
      <c r="J59" s="6">
        <v>17.564206519999999</v>
      </c>
      <c r="K59" s="6">
        <v>78.166565680000005</v>
      </c>
      <c r="L59" s="6"/>
      <c r="M59" s="6"/>
      <c r="N59" s="6" t="s">
        <v>67</v>
      </c>
      <c r="O59" s="6"/>
      <c r="P59" s="6"/>
      <c r="Q59" s="8" t="b">
        <v>0</v>
      </c>
    </row>
    <row r="60" spans="1:17" x14ac:dyDescent="0.25">
      <c r="A60" s="6">
        <f>A59+1</f>
        <v>59</v>
      </c>
      <c r="B60" s="6" t="s">
        <v>197</v>
      </c>
      <c r="C60" s="6" t="s">
        <v>211</v>
      </c>
      <c r="D60" s="6" t="s">
        <v>199</v>
      </c>
      <c r="E60" s="6" t="s">
        <v>222</v>
      </c>
      <c r="F60" s="6" t="s">
        <v>61</v>
      </c>
      <c r="G60" s="6" t="s">
        <v>233</v>
      </c>
      <c r="H60" s="6" t="s">
        <v>69</v>
      </c>
      <c r="I60" s="6" t="s">
        <v>73</v>
      </c>
      <c r="J60" s="6">
        <v>17.563957779999999</v>
      </c>
      <c r="K60" s="6">
        <v>78.167264110000005</v>
      </c>
      <c r="L60" s="6"/>
      <c r="M60" s="6"/>
      <c r="N60" s="6" t="s">
        <v>185</v>
      </c>
      <c r="O60" s="6"/>
      <c r="P60" s="6"/>
      <c r="Q60" s="8" t="b">
        <v>0</v>
      </c>
    </row>
    <row r="61" spans="1:17" x14ac:dyDescent="0.25">
      <c r="A61" s="6">
        <f>A60+1</f>
        <v>60</v>
      </c>
      <c r="B61" s="6" t="s">
        <v>198</v>
      </c>
      <c r="C61" s="6" t="s">
        <v>212</v>
      </c>
      <c r="D61" s="6" t="s">
        <v>199</v>
      </c>
      <c r="E61" s="6" t="s">
        <v>223</v>
      </c>
      <c r="F61" s="6" t="s">
        <v>61</v>
      </c>
      <c r="G61" s="6" t="s">
        <v>233</v>
      </c>
      <c r="H61" s="6" t="s">
        <v>69</v>
      </c>
      <c r="I61" s="6" t="s">
        <v>178</v>
      </c>
      <c r="J61" s="6">
        <v>17.563537910000001</v>
      </c>
      <c r="K61" s="6">
        <v>78.167750470000001</v>
      </c>
      <c r="L61" s="6"/>
      <c r="M61" s="6"/>
      <c r="N61" s="6" t="s">
        <v>185</v>
      </c>
      <c r="O61" s="7" t="s">
        <v>180</v>
      </c>
      <c r="P61" s="6"/>
      <c r="Q61" s="8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6570-2FBA-4255-9A72-E4BAFABB3C57}">
  <dimension ref="A1:L5"/>
  <sheetViews>
    <sheetView workbookViewId="0">
      <selection sqref="A1:L5"/>
    </sheetView>
  </sheetViews>
  <sheetFormatPr defaultRowHeight="15" x14ac:dyDescent="0.25"/>
  <cols>
    <col min="1" max="2" width="21.42578125" customWidth="1"/>
    <col min="3" max="3" width="12.85546875" customWidth="1"/>
    <col min="4" max="4" width="27.85546875" customWidth="1"/>
    <col min="5" max="5" width="15.28515625" customWidth="1"/>
    <col min="6" max="6" width="19.140625" customWidth="1"/>
    <col min="7" max="7" width="23.7109375" customWidth="1"/>
    <col min="8" max="9" width="21.7109375" customWidth="1"/>
    <col min="10" max="10" width="22" customWidth="1"/>
    <col min="11" max="11" width="15" customWidth="1"/>
    <col min="12" max="12" width="11" customWidth="1"/>
  </cols>
  <sheetData>
    <row r="1" spans="1:12" ht="14.45" customHeight="1" x14ac:dyDescent="0.25">
      <c r="A1" s="11" t="s">
        <v>1</v>
      </c>
      <c r="B1" s="12" t="s">
        <v>2</v>
      </c>
      <c r="C1" s="12" t="s">
        <v>3</v>
      </c>
      <c r="D1" s="12" t="s">
        <v>4</v>
      </c>
      <c r="E1" s="12" t="s">
        <v>243</v>
      </c>
      <c r="F1" s="13" t="s">
        <v>247</v>
      </c>
      <c r="G1" s="13" t="s">
        <v>252</v>
      </c>
      <c r="H1" s="13" t="s">
        <v>281</v>
      </c>
      <c r="I1" s="13" t="s">
        <v>282</v>
      </c>
      <c r="J1" s="12" t="s">
        <v>244</v>
      </c>
      <c r="K1" s="12" t="s">
        <v>253</v>
      </c>
      <c r="L1" s="14" t="s">
        <v>12</v>
      </c>
    </row>
    <row r="2" spans="1:12" ht="13.9" customHeight="1" x14ac:dyDescent="0.25">
      <c r="A2" s="4" t="s">
        <v>255</v>
      </c>
      <c r="B2" s="3" t="s">
        <v>259</v>
      </c>
      <c r="C2" s="3" t="s">
        <v>199</v>
      </c>
      <c r="D2" s="3" t="s">
        <v>245</v>
      </c>
      <c r="E2" s="3" t="s">
        <v>246</v>
      </c>
      <c r="F2" s="3" t="s">
        <v>258</v>
      </c>
      <c r="G2" s="2"/>
      <c r="H2" s="2">
        <v>17.564362110000001</v>
      </c>
      <c r="I2" s="2">
        <v>78.169125820000005</v>
      </c>
      <c r="J2" s="3"/>
      <c r="K2" s="3"/>
      <c r="L2" s="15"/>
    </row>
    <row r="3" spans="1:12" ht="13.15" customHeight="1" x14ac:dyDescent="0.25">
      <c r="A3" s="4" t="s">
        <v>254</v>
      </c>
      <c r="B3" s="3" t="s">
        <v>260</v>
      </c>
      <c r="C3" s="3" t="s">
        <v>151</v>
      </c>
      <c r="D3" s="3" t="s">
        <v>248</v>
      </c>
      <c r="E3" s="3" t="s">
        <v>246</v>
      </c>
      <c r="F3" s="3" t="s">
        <v>258</v>
      </c>
      <c r="G3" s="3"/>
      <c r="H3" s="3">
        <v>17.56362974</v>
      </c>
      <c r="I3" s="3">
        <v>78.165315100000001</v>
      </c>
      <c r="J3" s="3"/>
      <c r="K3" s="3"/>
      <c r="L3" s="15"/>
    </row>
    <row r="4" spans="1:12" ht="14.45" customHeight="1" x14ac:dyDescent="0.25">
      <c r="A4" s="4" t="s">
        <v>256</v>
      </c>
      <c r="B4" s="3" t="s">
        <v>261</v>
      </c>
      <c r="C4" s="3" t="s">
        <v>249</v>
      </c>
      <c r="D4" s="3" t="s">
        <v>250</v>
      </c>
      <c r="E4" s="3" t="s">
        <v>246</v>
      </c>
      <c r="F4" s="3" t="s">
        <v>258</v>
      </c>
      <c r="G4" s="3"/>
      <c r="H4" s="3">
        <v>17.55447697</v>
      </c>
      <c r="I4" s="3">
        <v>78.163760780000004</v>
      </c>
      <c r="J4" s="3"/>
      <c r="K4" s="3"/>
      <c r="L4" s="15"/>
    </row>
    <row r="5" spans="1:12" ht="14.45" customHeight="1" x14ac:dyDescent="0.25">
      <c r="A5" s="16" t="s">
        <v>257</v>
      </c>
      <c r="B5" s="17" t="s">
        <v>262</v>
      </c>
      <c r="C5" s="17" t="s">
        <v>249</v>
      </c>
      <c r="D5" s="17" t="s">
        <v>250</v>
      </c>
      <c r="E5" s="17" t="s">
        <v>246</v>
      </c>
      <c r="F5" s="17" t="s">
        <v>258</v>
      </c>
      <c r="G5" s="17"/>
      <c r="H5" s="17">
        <v>17.554371549999999</v>
      </c>
      <c r="I5" s="17">
        <v>78.163831639999998</v>
      </c>
      <c r="J5" s="17"/>
      <c r="K5" s="17"/>
      <c r="L5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3C07-8204-4D4C-9B01-F2F776829756}">
  <dimension ref="A1:M6"/>
  <sheetViews>
    <sheetView workbookViewId="0">
      <selection activeCell="C34" sqref="C34"/>
    </sheetView>
  </sheetViews>
  <sheetFormatPr defaultRowHeight="15" x14ac:dyDescent="0.25"/>
  <cols>
    <col min="1" max="2" width="19" customWidth="1"/>
    <col min="3" max="3" width="15" customWidth="1"/>
    <col min="4" max="4" width="22.7109375" customWidth="1"/>
    <col min="5" max="5" width="14.5703125" customWidth="1"/>
    <col min="7" max="7" width="19.140625" customWidth="1"/>
    <col min="8" max="9" width="16.85546875" customWidth="1"/>
    <col min="10" max="10" width="11.5703125" customWidth="1"/>
    <col min="11" max="11" width="13.85546875" customWidth="1"/>
    <col min="12" max="12" width="19.85546875" customWidth="1"/>
    <col min="13" max="13" width="9.7109375" customWidth="1"/>
  </cols>
  <sheetData>
    <row r="1" spans="1:13" ht="14.45" customHeight="1" x14ac:dyDescent="0.25">
      <c r="A1" s="19" t="s">
        <v>1</v>
      </c>
      <c r="B1" s="20" t="s">
        <v>2</v>
      </c>
      <c r="C1" s="20" t="s">
        <v>3</v>
      </c>
      <c r="D1" s="20" t="s">
        <v>4</v>
      </c>
      <c r="E1" s="20" t="s">
        <v>243</v>
      </c>
      <c r="F1" s="20" t="s">
        <v>263</v>
      </c>
      <c r="G1" s="13" t="s">
        <v>247</v>
      </c>
      <c r="H1" s="13" t="s">
        <v>281</v>
      </c>
      <c r="I1" s="13" t="s">
        <v>282</v>
      </c>
      <c r="J1" s="20" t="s">
        <v>264</v>
      </c>
      <c r="K1" s="20" t="s">
        <v>265</v>
      </c>
      <c r="L1" s="20" t="s">
        <v>9</v>
      </c>
      <c r="M1" s="21" t="s">
        <v>12</v>
      </c>
    </row>
    <row r="2" spans="1:13" ht="14.45" customHeight="1" x14ac:dyDescent="0.25">
      <c r="A2" s="4" t="s">
        <v>271</v>
      </c>
      <c r="B2" s="2" t="s">
        <v>276</v>
      </c>
      <c r="C2" s="3" t="s">
        <v>199</v>
      </c>
      <c r="D2" s="3" t="s">
        <v>245</v>
      </c>
      <c r="E2" s="3" t="s">
        <v>246</v>
      </c>
      <c r="F2" s="3" t="s">
        <v>266</v>
      </c>
      <c r="G2" s="3"/>
      <c r="H2" s="3">
        <v>17.564250749999999</v>
      </c>
      <c r="I2" s="3">
        <v>78.169125199999996</v>
      </c>
      <c r="J2" s="3" t="s">
        <v>267</v>
      </c>
      <c r="K2" s="3"/>
      <c r="L2" s="3"/>
      <c r="M2" s="15"/>
    </row>
    <row r="3" spans="1:13" ht="14.45" customHeight="1" x14ac:dyDescent="0.25">
      <c r="A3" s="4" t="s">
        <v>272</v>
      </c>
      <c r="B3" s="2" t="s">
        <v>277</v>
      </c>
      <c r="C3" s="3" t="s">
        <v>151</v>
      </c>
      <c r="D3" s="3" t="s">
        <v>248</v>
      </c>
      <c r="E3" s="3" t="s">
        <v>273</v>
      </c>
      <c r="F3" s="3" t="s">
        <v>268</v>
      </c>
      <c r="G3" s="3"/>
      <c r="H3" s="3">
        <v>17.563604460000001</v>
      </c>
      <c r="I3" s="3">
        <v>78.165223179999998</v>
      </c>
      <c r="J3" s="3" t="s">
        <v>267</v>
      </c>
      <c r="K3" s="3"/>
      <c r="L3" s="3"/>
      <c r="M3" s="15"/>
    </row>
    <row r="4" spans="1:13" ht="14.45" customHeight="1" x14ac:dyDescent="0.25">
      <c r="A4" s="4" t="s">
        <v>274</v>
      </c>
      <c r="B4" s="2" t="s">
        <v>278</v>
      </c>
      <c r="C4" s="3" t="s">
        <v>151</v>
      </c>
      <c r="D4" s="3" t="s">
        <v>248</v>
      </c>
      <c r="E4" s="3" t="s">
        <v>251</v>
      </c>
      <c r="F4" s="3" t="s">
        <v>268</v>
      </c>
      <c r="G4" s="3"/>
      <c r="H4" s="3">
        <v>17.563727149999998</v>
      </c>
      <c r="I4" s="3">
        <v>78.165299050000002</v>
      </c>
      <c r="J4" s="3" t="s">
        <v>267</v>
      </c>
      <c r="K4" s="3"/>
      <c r="L4" s="3"/>
      <c r="M4" s="15"/>
    </row>
    <row r="5" spans="1:13" ht="14.45" customHeight="1" x14ac:dyDescent="0.25">
      <c r="A5" s="4" t="s">
        <v>270</v>
      </c>
      <c r="B5" s="2" t="s">
        <v>279</v>
      </c>
      <c r="C5" s="3" t="s">
        <v>249</v>
      </c>
      <c r="D5" s="3" t="s">
        <v>245</v>
      </c>
      <c r="E5" s="3" t="s">
        <v>251</v>
      </c>
      <c r="F5" s="3" t="s">
        <v>268</v>
      </c>
      <c r="G5" s="3"/>
      <c r="H5" s="3">
        <v>17.554426549999999</v>
      </c>
      <c r="I5" s="3">
        <v>78.163861549999993</v>
      </c>
      <c r="J5" s="3" t="s">
        <v>267</v>
      </c>
      <c r="K5" s="3"/>
      <c r="L5" s="3"/>
      <c r="M5" s="15"/>
    </row>
    <row r="6" spans="1:13" x14ac:dyDescent="0.25">
      <c r="A6" s="16" t="s">
        <v>275</v>
      </c>
      <c r="B6" s="22" t="s">
        <v>280</v>
      </c>
      <c r="C6" s="17" t="s">
        <v>249</v>
      </c>
      <c r="D6" s="17" t="s">
        <v>245</v>
      </c>
      <c r="E6" s="17" t="s">
        <v>269</v>
      </c>
      <c r="F6" s="17" t="s">
        <v>268</v>
      </c>
      <c r="G6" s="23"/>
      <c r="H6" s="24">
        <v>17.554403279999999</v>
      </c>
      <c r="I6" s="24">
        <v>78.163868460000003</v>
      </c>
      <c r="J6" s="17" t="s">
        <v>267</v>
      </c>
      <c r="K6" s="23"/>
      <c r="L6" s="23"/>
      <c r="M6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Borewell</vt:lpstr>
      <vt:lpstr>Sumps</vt:lpstr>
      <vt:lpstr>OHSR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deole</dc:creator>
  <cp:lastModifiedBy>Aditya Deole</cp:lastModifiedBy>
  <dcterms:created xsi:type="dcterms:W3CDTF">2026-01-07T11:27:26Z</dcterms:created>
  <dcterms:modified xsi:type="dcterms:W3CDTF">2026-01-08T19:47:30Z</dcterms:modified>
</cp:coreProperties>
</file>